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6b574cb204a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on Dashboard" sheetId="1" r:id="R555dc8c8fc9149fc"/>
    <x:sheet xmlns:r="http://schemas.openxmlformats.org/officeDocument/2006/relationships" name="Test Case Register" sheetId="2" r:id="R88825d8c86ee47a3"/>
    <x:sheet xmlns:r="http://schemas.openxmlformats.org/officeDocument/2006/relationships" name="Test Data &amp; Reference" sheetId="3" r:id="Rce3a0b03085a49eb"/>
    <x:sheet xmlns:r="http://schemas.openxmlformats.org/officeDocument/2006/relationships" name="Controlled Lists" sheetId="4" r:id="R9393854bef734e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0233F"/>
      <x:name val="Carlito"/>
    </x:font>
    <x:font>
      <x:b/>
      <x:sz val="11"/>
      <x:color rgb="FFFFFFFF"/>
      <x:name val="Carlito"/>
    </x:font>
    <x:font>
      <x:b/>
      <x:sz val="11"/>
      <x:color rgb="FF9B1C1C"/>
      <x:name val="Carlito"/>
    </x:font>
    <x:font>
      <x:b/>
      <x:sz val="10"/>
      <x:color rgb="FFFFFFFF"/>
      <x:name val="Aptos"/>
    </x:font>
    <x:font>
      <x:i/>
      <x:sz val="10"/>
      <x:color rgb="FF10233F"/>
      <x:name val="Aptos"/>
    </x:font>
    <x:font>
      <x:sz val="10"/>
      <x:name val="Aptos"/>
    </x:font>
    <x:font>
      <x:b/>
      <x:sz val="10"/>
      <x:color rgb="FF9B1C1C"/>
      <x:name val="Aptos"/>
    </x:font>
    <x:font>
      <x:sz val="9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0233F"/>
      </x:patternFill>
    </x:fill>
    <x:fill>
      <x:patternFill patternType="solid">
        <x:fgColor rgb="FFEAF2FB"/>
      </x:patternFill>
    </x:fill>
    <x:fill>
      <x:patternFill patternType="solid">
        <x:fgColor rgb="FF1F5EAA"/>
      </x:patternFill>
    </x:fill>
    <x:fill>
      <x:patternFill patternType="solid">
        <x:fgColor rgb="FF0F766E"/>
      </x:patternFill>
    </x:fill>
    <x:fill>
      <x:patternFill patternType="solid">
        <x:fgColor rgb="FFFDE8E8"/>
      </x:patternFill>
    </x:fill>
    <x:fill>
      <x:patternFill patternType="solid">
        <x:fgColor rgb="FFFFF4CC"/>
      </x:patternFill>
    </x:fill>
  </x:fills>
  <x:borders count="13">
    <x:border/>
    <x:border>
      <x:left style="thin">
        <x:color rgb="FFC9D3DF"/>
      </x:left>
      <x:top style="thin">
        <x:color rgb="FFC9D3DF"/>
      </x:top>
    </x:border>
    <x:border>
      <x:top style="thin">
        <x:color rgb="FFC9D3DF"/>
      </x:top>
    </x:border>
    <x:border>
      <x:right style="thin">
        <x:color rgb="FFC9D3DF"/>
      </x:right>
      <x:top style="thin">
        <x:color rgb="FFC9D3DF"/>
      </x:top>
    </x:border>
    <x:border>
      <x:left style="thin">
        <x:color rgb="FFC9D3DF"/>
      </x:left>
    </x:border>
    <x:border>
      <x:right style="thin">
        <x:color rgb="FFC9D3DF"/>
      </x:right>
    </x:border>
    <x:border>
      <x:left style="thin">
        <x:color rgb="FFC9D3DF"/>
      </x:left>
      <x:bottom style="thin">
        <x:color rgb="FFC9D3DF"/>
      </x:bottom>
    </x:border>
    <x:border>
      <x:bottom style="thin">
        <x:color rgb="FFC9D3DF"/>
      </x:bottom>
    </x:border>
    <x:border>
      <x:right style="thin">
        <x:color rgb="FFC9D3DF"/>
      </x:right>
      <x:bottom style="thin">
        <x:color rgb="FFC9D3DF"/>
      </x:bottom>
    </x:border>
    <x:border>
      <x:bottom style="thin">
        <x:color rgb="FFE1E7EF"/>
      </x:bottom>
    </x:border>
    <x:border>
      <x:top style="thin">
        <x:color rgb="FFE1E7EF"/>
      </x:top>
      <x:bottom style="thin">
        <x:color rgb="FFE1E7EF"/>
      </x:bottom>
    </x:border>
    <x:border>
      <x:top style="thin">
        <x:color rgb="FFE1E7EF"/>
      </x:top>
      <x:bottom style="thin">
        <x:color rgb="FFC9D3DF"/>
      </x:bottom>
    </x:border>
    <x:border>
      <x:top style="thin">
        <x:color rgb="FFE1E7EF"/>
      </x:top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2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4" borderId="3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7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0" fontId="9" fillId="7" borderId="9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  <x:xf numFmtId="0" fontId="9" fillId="7" borderId="10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0" fontId="9" fillId="7" borderId="11" xfId="0" applyNumberFormat="1" applyFont="1" applyFill="1" applyBorder="1" applyAlignment="1">
      <x:alignment vertical="top" wrapText="1"/>
    </x:xf>
    <x:xf numFmtId="201" fontId="9" fillId="7" borderId="9" xfId="0" applyNumberFormat="1" applyFont="1" applyFill="1" applyBorder="1" applyAlignment="1">
      <x:alignment vertical="top" wrapText="1"/>
    </x:xf>
    <x:xf numFmtId="201" fontId="9" fillId="7" borderId="10" xfId="0" applyNumberFormat="1" applyFont="1" applyFill="1" applyBorder="1" applyAlignment="1">
      <x:alignment vertical="top" wrapText="1"/>
    </x:xf>
    <x:xf numFmtId="201" fontId="9" fillId="7" borderId="11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/>
    <x:xf numFmtId="0" fontId="7" fillId="0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7" borderId="9" xfId="0" applyNumberFormat="1" applyFont="1" applyFill="1" applyBorder="1" applyAlignment="1">
      <x:alignment vertical="top" wrapText="1"/>
    </x:xf>
    <x:xf numFmtId="201" fontId="7" fillId="7" borderId="9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7" borderId="10" xfId="0" applyNumberFormat="1" applyFont="1" applyFill="1" applyBorder="1" applyAlignment="1">
      <x:alignment vertical="top" wrapText="1"/>
    </x:xf>
    <x:xf numFmtId="201" fontId="7" fillId="7" borderId="10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7" fillId="7" borderId="11" xfId="0" applyNumberFormat="1" applyFont="1" applyFill="1" applyBorder="1" applyAlignment="1">
      <x:alignment vertical="top" wrapText="1"/>
    </x:xf>
    <x:xf numFmtId="201" fontId="7" fillId="7" borderId="11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e99374ad24b15" /><Relationship Type="http://schemas.openxmlformats.org/officeDocument/2006/relationships/theme" Target="/xl/theme/theme1.xml" Id="R2dbffe135a734ca2" /><Relationship Type="http://schemas.openxmlformats.org/officeDocument/2006/relationships/sharedStrings" Target="/xl/sharedStrings.xml" Id="R5fa71ac0943b4bd8" /><Relationship Type="http://schemas.openxmlformats.org/officeDocument/2006/relationships/worksheet" Target="/xl/worksheets/sheet1.xml" Id="R555dc8c8fc9149fc" /><Relationship Type="http://schemas.openxmlformats.org/officeDocument/2006/relationships/worksheet" Target="/xl/worksheets/sheet2.xml" Id="R88825d8c86ee47a3" /><Relationship Type="http://schemas.openxmlformats.org/officeDocument/2006/relationships/worksheet" Target="/xl/worksheets/sheet3.xml" Id="Rce3a0b03085a49eb" /><Relationship Type="http://schemas.openxmlformats.org/officeDocument/2006/relationships/worksheet" Target="/xl/worksheets/sheet4.xml" Id="R9393854bef734e93" /><Relationship Type="http://schemas.microsoft.com/office/2017/10/relationships/person" Target="/xl/persons/person.xml" Id="R04984118ba3945f2" /></Relationships>
</file>

<file path=xl/persons/person.xml><?xml version="1.0" encoding="utf-8"?>
<xltc:personList xmlns:xltc="http://schemas.microsoft.com/office/spreadsheetml/2018/threadedcomments">
  <xltc:person displayName="Praveen Sahni" id="{2DEAA1B9-4799-454C-B238-34564B5F0661}"/>
</xltc:personList>
</file>

<file path=xl/tables/table1.xml><?xml version="1.0" encoding="utf-8"?>
<x:table xmlns:x="http://schemas.openxmlformats.org/spreadsheetml/2006/main" id="1" name="Soc2ManualTests" displayName="Soc2ManualTests" ref="A6:Q61" headerRowCount="1" totalsRowCount="0" totalsRowShown="0">
  <x:tableColumns count="17">
    <x:tableColumn id="1" name="Test ID"/>
    <x:tableColumn id="2" name="Test Area"/>
    <x:tableColumn id="3" name="Test Case"/>
    <x:tableColumn id="4" name="Priority"/>
    <x:tableColumn id="5" name="Executor Role"/>
    <x:tableColumn id="6" name="Preconditions"/>
    <x:tableColumn id="7" name="Detailed Steps"/>
    <x:tableColumn id="8" name="Expected Result"/>
    <x:tableColumn id="9" name="Control / PR"/>
    <x:tableColumn id="10" name="Status"/>
    <x:tableColumn id="11" name="Actual Result"/>
    <x:tableColumn id="12" name="Comments"/>
    <x:tableColumn id="13" name="Evidence Reference"/>
    <x:tableColumn id="14" name="Defect ID"/>
    <x:tableColumn id="15" name="Tester"/>
    <x:tableColumn id="16" name="Execution Date"/>
    <x:tableColumn id="17" name="Approver / Sign-of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d70bf7ad174e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19" hidden="0" customWidth="1"/>
    <x:col min="5" max="5" width="1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3" t="str">
        <x:v>AiMLTriage SOC2 Manual Regression Execution Dashboard</x:v>
      </x:c>
      <x:c r="B1" s="43"/>
      <x:c r="C1" s="43"/>
      <x:c r="D1" s="43"/>
      <x:c r="E1" s="43"/>
      <x:c r="F1" s="43"/>
      <x:c r="G1" s="43"/>
      <x:c r="H1" s="43"/>
    </x:row>
    <x:row r="2">
      <x:c r="A2" s="43"/>
      <x:c r="B2" s="43"/>
      <x:c r="C2" s="43"/>
      <x:c r="D2" s="43"/>
      <x:c r="E2" s="43"/>
      <x:c r="F2" s="43"/>
      <x:c r="G2" s="43"/>
      <x:c r="H2" s="43"/>
    </x:row>
    <x:row r="3" ht="24" hidden="0" customHeight="1">
      <x:c r="A3" s="44" t="str">
        <x:v>Environment: SOC2 | Revision: ist-triage-soc2-release-2efa598 | Git SHA: 2efa598063da3bb19f0bd9140888003e2132bf77</x:v>
      </x:c>
      <x:c r="B3" s="44"/>
      <x:c r="C3" s="44"/>
      <x:c r="D3" s="44"/>
      <x:c r="E3" s="44"/>
      <x:c r="F3" s="44"/>
      <x:c r="G3" s="44"/>
      <x:c r="H3" s="44"/>
    </x:row>
    <x:row r="4" ht="15" hidden="0" customHeight="1">
      <x:c r="A4" s="45"/>
      <x:c r="B4" s="45"/>
      <x:c r="C4" s="45"/>
      <x:c r="D4" s="45"/>
      <x:c r="E4" s="45"/>
      <x:c r="F4" s="45"/>
      <x:c r="G4" s="45"/>
      <x:c r="H4" s="45"/>
    </x:row>
    <x:row r="5" ht="15" hidden="0" customHeight="1">
      <x:c r="A5" s="46" t="str">
        <x:v>Metric</x:v>
      </x:c>
      <x:c r="B5" s="47" t="str">
        <x:v>Value</x:v>
      </x:c>
      <x:c r="C5" s="48"/>
      <x:c r="D5" s="49" t="str">
        <x:v>Status</x:v>
      </x:c>
      <x:c r="E5" s="49" t="str">
        <x:v>Count</x:v>
      </x:c>
      <x:c r="F5" s="50" t="str">
        <x:v>Meaning</x:v>
      </x:c>
      <x:c r="G5" s="45"/>
      <x:c r="H5" s="45"/>
    </x:row>
    <x:row r="6" ht="36" hidden="0" customHeight="1">
      <x:c r="A6" s="51" t="str">
        <x:v>Total test cases</x:v>
      </x:c>
      <x:c r="B6" s="45" t="n">
        <x:f>COUNTA('Test Case Register'!$A$7:$A$200)</x:f>
        <x:v>55</x:v>
      </x:c>
      <x:c r="C6" s="45"/>
      <x:c r="D6" s="45" t="str">
        <x:v>Not Started</x:v>
      </x:c>
      <x:c r="E6" s="45" t="n">
        <x:f>COUNTIF('Test Case Register'!$J$7:$J$200,D6)</x:f>
        <x:v>55</x:v>
      </x:c>
      <x:c r="F6" s="52" t="str">
        <x:v>Execution has not begun</x:v>
      </x:c>
      <x:c r="G6" s="45"/>
      <x:c r="H6" s="45"/>
    </x:row>
    <x:row r="7" ht="24" hidden="0" customHeight="1">
      <x:c r="A7" s="51" t="str">
        <x:v>Completed</x:v>
      </x:c>
      <x:c r="B7" s="45" t="n">
        <x:f>COUNTIF('Test Case Register'!$J$7:$J$200,"Pass")+COUNTIF('Test Case Register'!$J$7:$J$200,"Fail")+COUNTIF('Test Case Register'!$J$7:$J$200,"Blocked")+COUNTIF('Test Case Register'!$J$7:$J$200,"Not Applicable")</x:f>
        <x:v>0</x:v>
      </x:c>
      <x:c r="C7" s="45"/>
      <x:c r="D7" s="45" t="str">
        <x:v>In Progress</x:v>
      </x:c>
      <x:c r="E7" s="45" t="n">
        <x:f>COUNTIF('Test Case Register'!$J$7:$J$200,D7)</x:f>
        <x:v>0</x:v>
      </x:c>
      <x:c r="F7" s="52" t="str">
        <x:v>Execution underway</x:v>
      </x:c>
      <x:c r="G7" s="45"/>
      <x:c r="H7" s="45"/>
    </x:row>
    <x:row r="8" ht="36" hidden="0" customHeight="1">
      <x:c r="A8" s="51" t="str">
        <x:v>Passed</x:v>
      </x:c>
      <x:c r="B8" s="45" t="n">
        <x:f>COUNTIF('Test Case Register'!$J$7:$J$200,"Pass")</x:f>
        <x:v>0</x:v>
      </x:c>
      <x:c r="C8" s="45"/>
      <x:c r="D8" s="45" t="str">
        <x:v>Pass</x:v>
      </x:c>
      <x:c r="E8" s="45" t="n">
        <x:f>COUNTIF('Test Case Register'!$J$7:$J$200,D8)</x:f>
        <x:v>0</x:v>
      </x:c>
      <x:c r="F8" s="52" t="str">
        <x:v>Expected result achieved</x:v>
      </x:c>
      <x:c r="G8" s="45"/>
      <x:c r="H8" s="45"/>
    </x:row>
    <x:row r="9" ht="36" hidden="0" customHeight="1">
      <x:c r="A9" s="51" t="str">
        <x:v>Pass rate</x:v>
      </x:c>
      <x:c r="B9" s="53" t="n">
        <x:f>IF(B7=0,0,B8/B7)</x:f>
        <x:v>0</x:v>
      </x:c>
      <x:c r="C9" s="45"/>
      <x:c r="D9" s="45" t="str">
        <x:v>Fail</x:v>
      </x:c>
      <x:c r="E9" s="45" t="n">
        <x:f>COUNTIF('Test Case Register'!$J$7:$J$200,D9)</x:f>
        <x:v>0</x:v>
      </x:c>
      <x:c r="F9" s="52" t="str">
        <x:v>Expected result not achieved</x:v>
      </x:c>
      <x:c r="G9" s="45"/>
      <x:c r="H9" s="45"/>
    </x:row>
    <x:row r="10" ht="60" hidden="0" customHeight="1">
      <x:c r="A10" s="54"/>
      <x:c r="B10" s="55"/>
      <x:c r="C10" s="55"/>
      <x:c r="D10" s="55" t="str">
        <x:v>Blocked</x:v>
      </x:c>
      <x:c r="E10" s="55" t="n">
        <x:f>COUNTIF('Test Case Register'!$J$7:$J$200,D10)</x:f>
        <x:v>0</x:v>
      </x:c>
      <x:c r="F10" s="56" t="str">
        <x:v>Cannot execute due to dependency</x:v>
      </x:c>
      <x:c r="G10" s="45"/>
      <x:c r="H10" s="45"/>
    </x:row>
    <x:row r="11" ht="15" hidden="0" customHeight="1">
      <x:c r="A11" s="45"/>
      <x:c r="B11" s="45"/>
      <x:c r="C11" s="45"/>
      <x:c r="D11" s="45"/>
      <x:c r="E11" s="45"/>
      <x:c r="F11" s="45"/>
      <x:c r="G11" s="45"/>
      <x:c r="H11" s="45"/>
    </x:row>
    <x:row r="12">
      <x:c r="A12" s="57" t="str">
        <x:v>Execution rule: do not record passwords, MFA secrets, QR codes, recovery codes, session tokens, cookies or Secret Manager values anywhere in this workbook.</x:v>
      </x:c>
      <x:c r="B12" s="57"/>
      <x:c r="C12" s="57"/>
      <x:c r="D12" s="57"/>
      <x:c r="E12" s="57"/>
      <x:c r="F12" s="57"/>
      <x:c r="G12" s="57"/>
      <x:c r="H12" s="57"/>
    </x:row>
    <x:row r="13">
      <x:c r="A13" s="57"/>
      <x:c r="B13" s="57"/>
      <x:c r="C13" s="57"/>
      <x:c r="D13" s="57"/>
      <x:c r="E13" s="57"/>
      <x:c r="F13" s="57"/>
      <x:c r="G13" s="57"/>
      <x:c r="H13" s="57"/>
    </x:row>
    <x:row r="14" ht="15" hidden="0" customHeight="1">
      <x:c r="A14" s="45"/>
      <x:c r="B14" s="45"/>
      <x:c r="C14" s="45"/>
      <x:c r="D14" s="45"/>
      <x:c r="E14" s="45"/>
      <x:c r="F14" s="45"/>
      <x:c r="G14" s="45"/>
      <x:c r="H14" s="45"/>
    </x:row>
    <x:row r="15" ht="36" hidden="0" customHeight="1">
      <x:c r="A15" s="46" t="str">
        <x:v>Recommended sequence</x:v>
      </x:c>
      <x:c r="B15" s="47" t="str">
        <x:v>1</x:v>
      </x:c>
      <x:c r="C15" s="47" t="str">
        <x:v>2</x:v>
      </x:c>
      <x:c r="D15" s="47" t="str">
        <x:v>3</x:v>
      </x:c>
      <x:c r="E15" s="47" t="str">
        <x:v>4</x:v>
      </x:c>
      <x:c r="F15" s="47" t="str">
        <x:v>5</x:v>
      </x:c>
      <x:c r="G15" s="47" t="str">
        <x:v>6</x:v>
      </x:c>
      <x:c r="H15" s="58" t="str">
        <x:v>7</x:v>
      </x:c>
    </x:row>
    <x:row r="16" ht="24" hidden="0" customHeight="1">
      <x:c r="A16" s="51" t="str">
        <x:v>Phase</x:v>
      </x:c>
      <x:c r="B16" s="45" t="str">
        <x:v>Credentials/MFA</x:v>
      </x:c>
      <x:c r="C16" s="45" t="str">
        <x:v>Role boundaries</x:v>
      </x:c>
      <x:c r="D16" s="45" t="str">
        <x:v>Manual calls</x:v>
      </x:c>
      <x:c r="E16" s="45" t="str">
        <x:v>Clinical protocols</x:v>
      </x:c>
      <x:c r="F16" s="45" t="str">
        <x:v>Fit-to-fly</x:v>
      </x:c>
      <x:c r="G16" s="45" t="str">
        <x:v>Audit/retention</x:v>
      </x:c>
      <x:c r="H16" s="52" t="str">
        <x:v>Help review</x:v>
      </x:c>
    </x:row>
    <x:row r="17" ht="24" hidden="0" customHeight="1">
      <x:c r="A17" s="51" t="str">
        <x:v>Primary owner</x:v>
      </x:c>
      <x:c r="B17" s="45" t="str">
        <x:v>Platform Admin</x:v>
      </x:c>
      <x:c r="C17" s="45" t="str">
        <x:v>Security QA</x:v>
      </x:c>
      <x:c r="D17" s="45" t="str">
        <x:v>Triage Nurse</x:v>
      </x:c>
      <x:c r="E17" s="45" t="str">
        <x:v>Clinical QA</x:v>
      </x:c>
      <x:c r="F17" s="45" t="str">
        <x:v>Clinical QA</x:v>
      </x:c>
      <x:c r="G17" s="45" t="str">
        <x:v>Security/Privacy</x:v>
      </x:c>
      <x:c r="H17" s="52" t="str">
        <x:v>All roles</x:v>
      </x:c>
    </x:row>
    <x:row r="18" ht="36" hidden="0" customHeight="1">
      <x:c r="A18" s="51" t="str">
        <x:v>Approval note</x:v>
      </x:c>
      <x:c r="B18" s="45" t="str">
        <x:v>Operational</x:v>
      </x:c>
      <x:c r="C18" s="45" t="str">
        <x:v>Operational</x:v>
      </x:c>
      <x:c r="D18" s="45" t="str">
        <x:v>Operational</x:v>
      </x:c>
      <x:c r="E18" s="45" t="str">
        <x:v>Named clinical approval</x:v>
      </x:c>
      <x:c r="F18" s="45" t="str">
        <x:v>Named clinical approval</x:v>
      </x:c>
      <x:c r="G18" s="45" t="str">
        <x:v>Security/Legal approval</x:v>
      </x:c>
      <x:c r="H18" s="52" t="str">
        <x:v>Content owner</x:v>
      </x:c>
    </x:row>
    <x:row r="19" ht="24" hidden="0" customHeight="1">
      <x:c r="A19" s="54" t="str">
        <x:v>Evidence</x:v>
      </x:c>
      <x:c r="B19" s="55" t="str">
        <x:v>Audit IDs</x:v>
      </x:c>
      <x:c r="C19" s="55" t="str">
        <x:v>Screens/HTTP</x:v>
      </x:c>
      <x:c r="D19" s="55" t="str">
        <x:v>Queue IDs</x:v>
      </x:c>
      <x:c r="E19" s="55" t="str">
        <x:v>Clinical matrix</x:v>
      </x:c>
      <x:c r="F19" s="55" t="str">
        <x:v>Outcome records</x:v>
      </x:c>
      <x:c r="G19" s="55" t="str">
        <x:v>Ledger/hold IDs</x:v>
      </x:c>
      <x:c r="H19" s="56" t="str">
        <x:v>Screens</x:v>
      </x:c>
    </x:row>
    <x:row r="20" ht="15" hidden="0" customHeight="1">
      <x:c r="A20" s="45"/>
      <x:c r="B20" s="45"/>
      <x:c r="C20" s="45"/>
      <x:c r="D20" s="45"/>
      <x:c r="E20" s="45"/>
      <x:c r="F20" s="45"/>
      <x:c r="G20" s="45"/>
      <x:c r="H20" s="45"/>
    </x:row>
  </x:sheetData>
  <x:mergeCells>
    <x:mergeCell ref="A1:H2"/>
    <x:mergeCell ref="A3:H3"/>
    <x:mergeCell ref="A12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32" hidden="0" customWidth="1"/>
    <x:col min="4" max="4" width="11" hidden="0" customWidth="1"/>
    <x:col min="5" max="5" width="24" hidden="0" customWidth="1"/>
    <x:col min="6" max="6" width="38" hidden="0" customWidth="1"/>
    <x:col min="7" max="7" width="58" hidden="0" customWidth="1"/>
    <x:col min="8" max="8" width="50" hidden="0" customWidth="1"/>
    <x:col min="9" max="9" width="18" hidden="0" customWidth="1"/>
    <x:col min="10" max="10" width="15" hidden="0" customWidth="1"/>
    <x:col min="11" max="11" width="38" hidden="0" customWidth="1"/>
    <x:col min="12" max="12" width="38" hidden="0" customWidth="1"/>
    <x:col min="13" max="13" width="28" hidden="0" customWidth="1"/>
    <x:col min="14" max="14" width="16" hidden="0" customWidth="1"/>
    <x:col min="15" max="15" width="20" hidden="0" customWidth="1"/>
    <x:col min="16" max="16" width="15" hidden="0" customWidth="1"/>
    <x:col min="17" max="17" width="24" hidden="0" customWidth="1"/>
  </x:cols>
  <x:sheetData>
    <x:row r="1">
      <x:c r="A1" s="83" t="str">
        <x:v>SOC2 Manual Regression Test Case Register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  <x:c r="M1" s="83"/>
      <x:c r="N1" s="83"/>
      <x:c r="O1" s="83"/>
      <x:c r="P1" s="83"/>
      <x:c r="Q1" s="83"/>
    </x:row>
    <x:row r="2">
      <x:c r="A2" s="83"/>
      <x:c r="B2" s="83"/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  <x:c r="O2" s="83"/>
      <x:c r="P2" s="83"/>
      <x:c r="Q2" s="83"/>
    </x:row>
    <x:row r="3">
      <x:c r="A3" s="84" t="str">
        <x:v>Yellow columns are tester inputs. Use one row per executed test and retain audit/evidence identifiers without secrets.</x:v>
      </x:c>
      <x:c r="B3" s="84"/>
      <x:c r="C3" s="84"/>
      <x:c r="D3" s="84"/>
      <x:c r="E3" s="84"/>
      <x:c r="F3" s="84"/>
      <x:c r="G3" s="84"/>
      <x:c r="H3" s="84"/>
      <x:c r="I3" s="84"/>
      <x:c r="J3" s="84"/>
      <x:c r="K3" s="84"/>
      <x:c r="L3" s="84"/>
      <x:c r="M3" s="84"/>
      <x:c r="N3" s="84"/>
      <x:c r="O3" s="84"/>
      <x:c r="P3" s="84"/>
      <x:c r="Q3" s="84"/>
    </x:row>
    <x:row r="4">
      <x:c r="A4" s="85"/>
      <x:c r="B4" s="85"/>
      <x:c r="C4" s="85"/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85"/>
      <x:c r="O4" s="85"/>
      <x:c r="P4" s="85"/>
      <x:c r="Q4" s="85"/>
    </x:row>
    <x:row r="5">
      <x:c r="A5" s="85"/>
      <x:c r="B5" s="85"/>
      <x:c r="C5" s="85"/>
      <x:c r="D5" s="85"/>
      <x:c r="E5" s="85"/>
      <x:c r="F5" s="85"/>
      <x:c r="G5" s="85"/>
      <x:c r="H5" s="85"/>
      <x:c r="I5" s="85"/>
      <x:c r="J5" s="85"/>
      <x:c r="K5" s="85"/>
      <x:c r="L5" s="85"/>
      <x:c r="M5" s="85"/>
      <x:c r="N5" s="85"/>
      <x:c r="O5" s="85"/>
      <x:c r="P5" s="85"/>
      <x:c r="Q5" s="85"/>
    </x:row>
    <x:row r="6" ht="36" customHeight="1">
      <x:c r="A6" s="86" t="str">
        <x:v>Test ID</x:v>
      </x:c>
      <x:c r="B6" s="86" t="str">
        <x:v>Test Area</x:v>
      </x:c>
      <x:c r="C6" s="86" t="str">
        <x:v>Test Case</x:v>
      </x:c>
      <x:c r="D6" s="86" t="str">
        <x:v>Priority</x:v>
      </x:c>
      <x:c r="E6" s="86" t="str">
        <x:v>Executor Role</x:v>
      </x:c>
      <x:c r="F6" s="86" t="str">
        <x:v>Preconditions</x:v>
      </x:c>
      <x:c r="G6" s="86" t="str">
        <x:v>Detailed Steps</x:v>
      </x:c>
      <x:c r="H6" s="86" t="str">
        <x:v>Expected Result</x:v>
      </x:c>
      <x:c r="I6" s="86" t="str">
        <x:v>Control / PR</x:v>
      </x:c>
      <x:c r="J6" s="86" t="str">
        <x:v>Status</x:v>
      </x:c>
      <x:c r="K6" s="86" t="str">
        <x:v>Actual Result</x:v>
      </x:c>
      <x:c r="L6" s="86" t="str">
        <x:v>Comments</x:v>
      </x:c>
      <x:c r="M6" s="86" t="str">
        <x:v>Evidence Reference</x:v>
      </x:c>
      <x:c r="N6" s="86" t="str">
        <x:v>Defect ID</x:v>
      </x:c>
      <x:c r="O6" s="86" t="str">
        <x:v>Tester</x:v>
      </x:c>
      <x:c r="P6" s="86" t="str">
        <x:v>Execution Date</x:v>
      </x:c>
      <x:c r="Q6" s="86" t="str">
        <x:v>Approver / Sign-off</x:v>
      </x:c>
    </x:row>
    <x:row r="7">
      <x:c r="A7" s="87" t="str">
        <x:v>SOC2-ADM-001</x:v>
      </x:c>
      <x:c r="B7" s="87" t="str">
        <x:v>Access &amp; Authentication</x:v>
      </x:c>
      <x:c r="C7" s="87" t="str">
        <x:v>Administrator login</x:v>
      </x:c>
      <x:c r="D7" s="87" t="str">
        <x:v>Critical</x:v>
      </x:c>
      <x:c r="E7" s="87" t="str">
        <x:v>Platform Administrator</x:v>
      </x:c>
      <x:c r="F7" s="87" t="str">
        <x:v>Rishma has the governed administrator password and enrolled authenticator.</x:v>
      </x:c>
      <x:c r="G7" s="87" t="str">
        <x:v>Open SOC2; enter rishma@irisstar.tech and the governed password; submit; enter current MFA code.</x:v>
      </x:c>
      <x:c r="H7" s="87" t="str">
        <x:v>Password and MFA succeed; Platform Administration opens; SOC2-STAGING banner and administrator role are visible.</x:v>
      </x:c>
      <x:c r="I7" s="87" t="str">
        <x:v>PR-001, PR-014</x:v>
      </x:c>
      <x:c r="J7" s="88" t="str">
        <x:v>Not Started</x:v>
      </x:c>
      <x:c r="K7" s="88" t="str"/>
      <x:c r="L7" s="88" t="str"/>
      <x:c r="M7" s="88" t="str"/>
      <x:c r="N7" s="88" t="str"/>
      <x:c r="O7" s="88" t="str"/>
      <x:c r="P7" s="89" t="str"/>
      <x:c r="Q7" s="88" t="str"/>
    </x:row>
    <x:row r="8">
      <x:c r="A8" s="90" t="str">
        <x:v>SOC2-ADM-002</x:v>
      </x:c>
      <x:c r="B8" s="90" t="str">
        <x:v>Access &amp; Authentication</x:v>
      </x:c>
      <x:c r="C8" s="90" t="str">
        <x:v>Invalid administrator password</x:v>
      </x:c>
      <x:c r="D8" s="90" t="str">
        <x:v>High</x:v>
      </x:c>
      <x:c r="E8" s="90" t="str">
        <x:v>Platform Administrator</x:v>
      </x:c>
      <x:c r="F8" s="90" t="str">
        <x:v>Incognito session available.</x:v>
      </x:c>
      <x:c r="G8" s="90" t="str">
        <x:v>Enter Rishma's ID with an incorrect password and submit.</x:v>
      </x:c>
      <x:c r="H8" s="90" t="str">
        <x:v>Generic authentication failure; no session; no account-enumeration detail.</x:v>
      </x:c>
      <x:c r="I8" s="90" t="str">
        <x:v>PR-001</x:v>
      </x:c>
      <x:c r="J8" s="91" t="str">
        <x:v>Not Started</x:v>
      </x:c>
      <x:c r="K8" s="91" t="str"/>
      <x:c r="L8" s="91" t="str"/>
      <x:c r="M8" s="91" t="str"/>
      <x:c r="N8" s="91" t="str"/>
      <x:c r="O8" s="91" t="str"/>
      <x:c r="P8" s="92" t="str"/>
      <x:c r="Q8" s="91" t="str"/>
    </x:row>
    <x:row r="9">
      <x:c r="A9" s="90" t="str">
        <x:v>SOC2-ADM-003</x:v>
      </x:c>
      <x:c r="B9" s="90" t="str">
        <x:v>Access &amp; Authentication</x:v>
      </x:c>
      <x:c r="C9" s="90" t="str">
        <x:v>Invalid administrator MFA code</x:v>
      </x:c>
      <x:c r="D9" s="90" t="str">
        <x:v>High</x:v>
      </x:c>
      <x:c r="E9" s="90" t="str">
        <x:v>Platform Administrator</x:v>
      </x:c>
      <x:c r="F9" s="90" t="str">
        <x:v>Valid administrator password available.</x:v>
      </x:c>
      <x:c r="G9" s="90" t="str">
        <x:v>Authenticate with valid password; submit an incorrect six-digit MFA code.</x:v>
      </x:c>
      <x:c r="H9" s="90" t="str">
        <x:v>Login rejected; no session; MFA secret not exposed; repeated failures controlled.</x:v>
      </x:c>
      <x:c r="I9" s="90" t="str">
        <x:v>PR-001, PR-014</x:v>
      </x:c>
      <x:c r="J9" s="91" t="str">
        <x:v>Not Started</x:v>
      </x:c>
      <x:c r="K9" s="91" t="str"/>
      <x:c r="L9" s="91" t="str"/>
      <x:c r="M9" s="91" t="str"/>
      <x:c r="N9" s="91" t="str"/>
      <x:c r="O9" s="91" t="str"/>
      <x:c r="P9" s="92" t="str"/>
      <x:c r="Q9" s="91" t="str"/>
    </x:row>
    <x:row r="10">
      <x:c r="A10" s="90" t="str">
        <x:v>SOC2-CRED-001</x:v>
      </x:c>
      <x:c r="B10" s="90" t="str">
        <x:v>Credential Governance</x:v>
      </x:c>
      <x:c r="C10" s="90" t="str">
        <x:v>Issue Layla temporary credential</x:v>
      </x:c>
      <x:c r="D10" s="90" t="str">
        <x:v>Critical</x:v>
      </x:c>
      <x:c r="E10" s="90" t="str">
        <x:v>Platform Administrator</x:v>
      </x:c>
      <x:c r="F10" s="90" t="str">
        <x:v>Rishma authenticated with MFA.</x:v>
      </x:c>
      <x:c r="G10" s="90" t="str">
        <x:v>Users &gt; Layla; enter reason 'SOC2 manual regression account activation'; Actions &gt; Issue temporary credential; complete elevation.</x:v>
      </x:c>
      <x:c r="H10" s="90" t="str">
        <x:v>Random password shown once; role remains Triage Nurse; action audited.</x:v>
      </x:c>
      <x:c r="I10" s="90" t="str">
        <x:v>PR-001, PR-014</x:v>
      </x:c>
      <x:c r="J10" s="91" t="str">
        <x:v>Not Started</x:v>
      </x:c>
      <x:c r="K10" s="91" t="str"/>
      <x:c r="L10" s="91" t="str"/>
      <x:c r="M10" s="91" t="str"/>
      <x:c r="N10" s="91" t="str"/>
      <x:c r="O10" s="91" t="str"/>
      <x:c r="P10" s="92" t="str"/>
      <x:c r="Q10" s="91" t="str"/>
    </x:row>
    <x:row r="11">
      <x:c r="A11" s="90" t="str">
        <x:v>SOC2-CRED-002</x:v>
      </x:c>
      <x:c r="B11" s="90" t="str">
        <x:v>Credential Governance</x:v>
      </x:c>
      <x:c r="C11" s="90" t="str">
        <x:v>Issue Khalid temporary credential</x:v>
      </x:c>
      <x:c r="D11" s="90" t="str">
        <x:v>Critical</x:v>
      </x:c>
      <x:c r="E11" s="90" t="str">
        <x:v>Platform Administrator</x:v>
      </x:c>
      <x:c r="F11" s="90" t="str">
        <x:v>Rishma authenticated with MFA.</x:v>
      </x:c>
      <x:c r="G11" s="90" t="str">
        <x:v>Users &gt; Khalid; enter governance reason; issue temporary credential; complete elevation.</x:v>
      </x:c>
      <x:c r="H11" s="90" t="str">
        <x:v>Different random password shown once; role remains Service Manager; action audited.</x:v>
      </x:c>
      <x:c r="I11" s="90" t="str">
        <x:v>PR-001, PR-014</x:v>
      </x:c>
      <x:c r="J11" s="91" t="str">
        <x:v>Not Started</x:v>
      </x:c>
      <x:c r="K11" s="91" t="str"/>
      <x:c r="L11" s="91" t="str"/>
      <x:c r="M11" s="91" t="str"/>
      <x:c r="N11" s="91" t="str"/>
      <x:c r="O11" s="91" t="str"/>
      <x:c r="P11" s="92" t="str"/>
      <x:c r="Q11" s="91" t="str"/>
    </x:row>
    <x:row r="12">
      <x:c r="A12" s="90" t="str">
        <x:v>SOC2-CRED-003</x:v>
      </x:c>
      <x:c r="B12" s="90" t="str">
        <x:v>Credential Governance</x:v>
      </x:c>
      <x:c r="C12" s="90" t="str">
        <x:v>Credential issuance without reason</x:v>
      </x:c>
      <x:c r="D12" s="90" t="str">
        <x:v>High</x:v>
      </x:c>
      <x:c r="E12" s="90" t="str">
        <x:v>Platform Administrator</x:v>
      </x:c>
      <x:c r="F12" s="90" t="str">
        <x:v>Target user exists.</x:v>
      </x:c>
      <x:c r="G12" s="90" t="str">
        <x:v>Leave Reason blank; attempt Issue temporary credential.</x:v>
      </x:c>
      <x:c r="H12" s="90" t="str">
        <x:v>Rejected with reason-required message; no credential generated.</x:v>
      </x:c>
      <x:c r="I12" s="90" t="str">
        <x:v>PR-014</x:v>
      </x:c>
      <x:c r="J12" s="91" t="str">
        <x:v>Not Started</x:v>
      </x:c>
      <x:c r="K12" s="91" t="str"/>
      <x:c r="L12" s="91" t="str"/>
      <x:c r="M12" s="91" t="str"/>
      <x:c r="N12" s="91" t="str"/>
      <x:c r="O12" s="91" t="str"/>
      <x:c r="P12" s="92" t="str"/>
      <x:c r="Q12" s="91" t="str"/>
    </x:row>
    <x:row r="13">
      <x:c r="A13" s="90" t="str">
        <x:v>SOC2-CRED-004</x:v>
      </x:c>
      <x:c r="B13" s="90" t="str">
        <x:v>Credential Governance</x:v>
      </x:c>
      <x:c r="C13" s="90" t="str">
        <x:v>Administrator self-provisioning blocked</x:v>
      </x:c>
      <x:c r="D13" s="90" t="str">
        <x:v>Critical</x:v>
      </x:c>
      <x:c r="E13" s="90" t="str">
        <x:v>Platform Administrator</x:v>
      </x:c>
      <x:c r="F13" s="90" t="str">
        <x:v>Rishma authenticated.</x:v>
      </x:c>
      <x:c r="G13" s="90" t="str">
        <x:v>On Rishma's own row, enter a reason and attempt temporary credential issuance.</x:v>
      </x:c>
      <x:c r="H13" s="90" t="str">
        <x:v>Rejected; existing administrator credential remains unchanged.</x:v>
      </x:c>
      <x:c r="I13" s="90" t="str">
        <x:v>PR-014</x:v>
      </x:c>
      <x:c r="J13" s="91" t="str">
        <x:v>Not Started</x:v>
      </x:c>
      <x:c r="K13" s="91" t="str"/>
      <x:c r="L13" s="91" t="str"/>
      <x:c r="M13" s="91" t="str"/>
      <x:c r="N13" s="91" t="str"/>
      <x:c r="O13" s="91" t="str"/>
      <x:c r="P13" s="92" t="str"/>
      <x:c r="Q13" s="91" t="str"/>
    </x:row>
    <x:row r="14">
      <x:c r="A14" s="90" t="str">
        <x:v>SOC2-CRED-005</x:v>
      </x:c>
      <x:c r="B14" s="90" t="str">
        <x:v>Credential Governance</x:v>
      </x:c>
      <x:c r="C14" s="90" t="str">
        <x:v>Previous temporary credential invalidated</x:v>
      </x:c>
      <x:c r="D14" s="90" t="str">
        <x:v>Critical</x:v>
      </x:c>
      <x:c r="E14" s="90" t="str">
        <x:v>Platform Administrator</x:v>
      </x:c>
      <x:c r="F14" s="90" t="str">
        <x:v>Layla test account available.</x:v>
      </x:c>
      <x:c r="G14" s="90" t="str">
        <x:v>Issue credential A; issue credential B; attempt login with A and then B.</x:v>
      </x:c>
      <x:c r="H14" s="90" t="str">
        <x:v>A rejected; B accepted; both actions audited.</x:v>
      </x:c>
      <x:c r="I14" s="90" t="str">
        <x:v>PR-001, PR-014</x:v>
      </x:c>
      <x:c r="J14" s="91" t="str">
        <x:v>Not Started</x:v>
      </x:c>
      <x:c r="K14" s="91" t="str"/>
      <x:c r="L14" s="91" t="str"/>
      <x:c r="M14" s="91" t="str"/>
      <x:c r="N14" s="91" t="str"/>
      <x:c r="O14" s="91" t="str"/>
      <x:c r="P14" s="92" t="str"/>
      <x:c r="Q14" s="91" t="str"/>
    </x:row>
    <x:row r="15">
      <x:c r="A15" s="90" t="str">
        <x:v>SOC2-MFA-001</x:v>
      </x:c>
      <x:c r="B15" s="90" t="str">
        <x:v>MFA Lifecycle</x:v>
      </x:c>
      <x:c r="C15" s="90" t="str">
        <x:v>Reset Layla MFA</x:v>
      </x:c>
      <x:c r="D15" s="90" t="str">
        <x:v>Critical</x:v>
      </x:c>
      <x:c r="E15" s="90" t="str">
        <x:v>Platform Administrator</x:v>
      </x:c>
      <x:c r="F15" s="90" t="str">
        <x:v>Layla exists and Rishma is elevated.</x:v>
      </x:c>
      <x:c r="G15" s="90" t="str">
        <x:v>Enter reset reason; Actions &gt; Reset MFA; complete elevation.</x:v>
      </x:c>
      <x:c r="H15" s="90" t="str">
        <x:v>Old enrollment retired; enrollment required; no secret revealed; reset audited.</x:v>
      </x:c>
      <x:c r="I15" s="90" t="str">
        <x:v>PR-001, PR-014</x:v>
      </x:c>
      <x:c r="J15" s="91" t="str">
        <x:v>Not Started</x:v>
      </x:c>
      <x:c r="K15" s="91" t="str"/>
      <x:c r="L15" s="91" t="str"/>
      <x:c r="M15" s="91" t="str"/>
      <x:c r="N15" s="91" t="str"/>
      <x:c r="O15" s="91" t="str"/>
      <x:c r="P15" s="92" t="str"/>
      <x:c r="Q15" s="91" t="str"/>
    </x:row>
    <x:row r="16">
      <x:c r="A16" s="90" t="str">
        <x:v>SOC2-MFA-002</x:v>
      </x:c>
      <x:c r="B16" s="90" t="str">
        <x:v>MFA Lifecycle</x:v>
      </x:c>
      <x:c r="C16" s="90" t="str">
        <x:v>Layla MFA re-enrollment</x:v>
      </x:c>
      <x:c r="D16" s="90" t="str">
        <x:v>Critical</x:v>
      </x:c>
      <x:c r="E16" s="90" t="str">
        <x:v>Triage Nurse</x:v>
      </x:c>
      <x:c r="F16" s="90" t="str">
        <x:v>Layla has latest governed password and MFA was reset.</x:v>
      </x:c>
      <x:c r="G16" s="90" t="str">
        <x:v>Login; scan QR; submit valid code; sign out; sign in again with new MFA code.</x:v>
      </x:c>
      <x:c r="H16" s="90" t="str">
        <x:v>Enrollment succeeds; subsequent login requires MFA; old authenticator rejected.</x:v>
      </x:c>
      <x:c r="I16" s="90" t="str">
        <x:v>PR-001, PR-014</x:v>
      </x:c>
      <x:c r="J16" s="91" t="str">
        <x:v>Not Started</x:v>
      </x:c>
      <x:c r="K16" s="91" t="str"/>
      <x:c r="L16" s="91" t="str"/>
      <x:c r="M16" s="91" t="str"/>
      <x:c r="N16" s="91" t="str"/>
      <x:c r="O16" s="91" t="str"/>
      <x:c r="P16" s="92" t="str"/>
      <x:c r="Q16" s="91" t="str"/>
    </x:row>
    <x:row r="17">
      <x:c r="A17" s="90" t="str">
        <x:v>SOC2-MFA-003</x:v>
      </x:c>
      <x:c r="B17" s="90" t="str">
        <x:v>MFA Lifecycle</x:v>
      </x:c>
      <x:c r="C17" s="90" t="str">
        <x:v>Invalid MFA enrollment code</x:v>
      </x:c>
      <x:c r="D17" s="90" t="str">
        <x:v>High</x:v>
      </x:c>
      <x:c r="E17" s="90" t="str">
        <x:v>Service Manager</x:v>
      </x:c>
      <x:c r="F17" s="90" t="str">
        <x:v>Khalid MFA reset completed.</x:v>
      </x:c>
      <x:c r="G17" s="90" t="str">
        <x:v>Begin enrollment and enter an incorrect code.</x:v>
      </x:c>
      <x:c r="H17" s="90" t="str">
        <x:v>Enrollment remains incomplete; application session not granted.</x:v>
      </x:c>
      <x:c r="I17" s="90" t="str">
        <x:v>PR-001</x:v>
      </x:c>
      <x:c r="J17" s="91" t="str">
        <x:v>Not Started</x:v>
      </x:c>
      <x:c r="K17" s="91" t="str"/>
      <x:c r="L17" s="91" t="str"/>
      <x:c r="M17" s="91" t="str"/>
      <x:c r="N17" s="91" t="str"/>
      <x:c r="O17" s="91" t="str"/>
      <x:c r="P17" s="92" t="str"/>
      <x:c r="Q17" s="91" t="str"/>
    </x:row>
    <x:row r="18">
      <x:c r="A18" s="90" t="str">
        <x:v>SOC2-RBAC-001</x:v>
      </x:c>
      <x:c r="B18" s="90" t="str">
        <x:v>Role Separation</x:v>
      </x:c>
      <x:c r="C18" s="90" t="str">
        <x:v>Layla Triage Nurse boundary</x:v>
      </x:c>
      <x:c r="D18" s="90" t="str">
        <x:v>Critical</x:v>
      </x:c>
      <x:c r="E18" s="90" t="str">
        <x:v>Triage Nurse</x:v>
      </x:c>
      <x:c r="F18" s="90" t="str">
        <x:v>Layla authenticated.</x:v>
      </x:c>
      <x:c r="G18" s="90" t="str">
        <x:v>Review navigation; attempt Platform Administration and Service Manager routes.</x:v>
      </x:c>
      <x:c r="H18" s="90" t="str">
        <x:v>Cockpit available; administration and manager-only controls hidden or 403.</x:v>
      </x:c>
      <x:c r="I18" s="90" t="str">
        <x:v>PR-004</x:v>
      </x:c>
      <x:c r="J18" s="91" t="str">
        <x:v>Not Started</x:v>
      </x:c>
      <x:c r="K18" s="91" t="str"/>
      <x:c r="L18" s="91" t="str"/>
      <x:c r="M18" s="91" t="str"/>
      <x:c r="N18" s="91" t="str"/>
      <x:c r="O18" s="91" t="str"/>
      <x:c r="P18" s="92" t="str"/>
      <x:c r="Q18" s="91" t="str"/>
    </x:row>
    <x:row r="19">
      <x:c r="A19" s="90" t="str">
        <x:v>SOC2-RBAC-002</x:v>
      </x:c>
      <x:c r="B19" s="90" t="str">
        <x:v>Role Separation</x:v>
      </x:c>
      <x:c r="C19" s="90" t="str">
        <x:v>Khalid Service Manager boundary</x:v>
      </x:c>
      <x:c r="D19" s="90" t="str">
        <x:v>Critical</x:v>
      </x:c>
      <x:c r="E19" s="90" t="str">
        <x:v>Service Manager</x:v>
      </x:c>
      <x:c r="F19" s="90" t="str">
        <x:v>Khalid authenticated.</x:v>
      </x:c>
      <x:c r="G19" s="90" t="str">
        <x:v>Open manager workspace; attempt Platform Administration and nurse-only clinical actions.</x:v>
      </x:c>
      <x:c r="H19" s="90" t="str">
        <x:v>Manager functions available; admin and nurse-only actions denied.</x:v>
      </x:c>
      <x:c r="I19" s="90" t="str">
        <x:v>PR-004</x:v>
      </x:c>
      <x:c r="J19" s="91" t="str">
        <x:v>Not Started</x:v>
      </x:c>
      <x:c r="K19" s="91" t="str"/>
      <x:c r="L19" s="91" t="str"/>
      <x:c r="M19" s="91" t="str"/>
      <x:c r="N19" s="91" t="str"/>
      <x:c r="O19" s="91" t="str"/>
      <x:c r="P19" s="92" t="str"/>
      <x:c r="Q19" s="91" t="str"/>
    </x:row>
    <x:row r="20">
      <x:c r="A20" s="90" t="str">
        <x:v>SOC2-RBAC-003</x:v>
      </x:c>
      <x:c r="B20" s="90" t="str">
        <x:v>Role Separation</x:v>
      </x:c>
      <x:c r="C20" s="90" t="str">
        <x:v>Rishma Platform Administrator boundary</x:v>
      </x:c>
      <x:c r="D20" s="90" t="str">
        <x:v>Critical</x:v>
      </x:c>
      <x:c r="E20" s="90" t="str">
        <x:v>Platform Administrator</x:v>
      </x:c>
      <x:c r="F20" s="90" t="str">
        <x:v>Rishma authenticated.</x:v>
      </x:c>
      <x:c r="G20" s="90" t="str">
        <x:v>Open Users, Roles and Permissions; inspect primary roles and custom-role option.</x:v>
      </x:c>
      <x:c r="H20" s="90" t="str">
        <x:v>Three primary roles visible; administrator can govern users/roles/permissions.</x:v>
      </x:c>
      <x:c r="I20" s="90" t="str">
        <x:v>PR-004, PR-005</x:v>
      </x:c>
      <x:c r="J20" s="91" t="str">
        <x:v>Not Started</x:v>
      </x:c>
      <x:c r="K20" s="91" t="str"/>
      <x:c r="L20" s="91" t="str"/>
      <x:c r="M20" s="91" t="str"/>
      <x:c r="N20" s="91" t="str"/>
      <x:c r="O20" s="91" t="str"/>
      <x:c r="P20" s="92" t="str"/>
      <x:c r="Q20" s="91" t="str"/>
    </x:row>
    <x:row r="21">
      <x:c r="A21" s="90" t="str">
        <x:v>SOC2-RBAC-004</x:v>
      </x:c>
      <x:c r="B21" s="90" t="str">
        <x:v>Role Separation</x:v>
      </x:c>
      <x:c r="C21" s="90" t="str">
        <x:v>Conflicting custom role rejected</x:v>
      </x:c>
      <x:c r="D21" s="90" t="str">
        <x:v>Critical</x:v>
      </x:c>
      <x:c r="E21" s="90" t="str">
        <x:v>Platform Administrator</x:v>
      </x:c>
      <x:c r="F21" s="90" t="str">
        <x:v>Rishma elevated.</x:v>
      </x:c>
      <x:c r="G21" s="90" t="str">
        <x:v>Create a role combining protected clinical and platform responsibilities; enter reason; submit.</x:v>
      </x:c>
      <x:c r="H21" s="90" t="str">
        <x:v>Conflict rejected; invalid role not saved; attempt auditable.</x:v>
      </x:c>
      <x:c r="I21" s="90" t="str">
        <x:v>PR-004, PR-005</x:v>
      </x:c>
      <x:c r="J21" s="91" t="str">
        <x:v>Not Started</x:v>
      </x:c>
      <x:c r="K21" s="91" t="str"/>
      <x:c r="L21" s="91" t="str"/>
      <x:c r="M21" s="91" t="str"/>
      <x:c r="N21" s="91" t="str"/>
      <x:c r="O21" s="91" t="str"/>
      <x:c r="P21" s="92" t="str"/>
      <x:c r="Q21" s="91" t="str"/>
    </x:row>
    <x:row r="22">
      <x:c r="A22" s="90" t="str">
        <x:v>SOC2-USR-001</x:v>
      </x:c>
      <x:c r="B22" s="90" t="str">
        <x:v>User Administration</x:v>
      </x:c>
      <x:c r="C22" s="90" t="str">
        <x:v>Create governed Triage Nurse</x:v>
      </x:c>
      <x:c r="D22" s="90" t="str">
        <x:v>Critical</x:v>
      </x:c>
      <x:c r="E22" s="90" t="str">
        <x:v>Platform Administrator</x:v>
      </x:c>
      <x:c r="F22" s="90" t="str">
        <x:v>Approved disposable test identity available.</x:v>
      </x:c>
      <x:c r="G22" s="90" t="str">
        <x:v>Create user; populate mandatory fields; assign only Triage Nurse; enter UAT reason; elevate and submit.</x:v>
      </x:c>
      <x:c r="H22" s="90" t="str">
        <x:v>User created; one-time password shown; exact role assigned; action audited.</x:v>
      </x:c>
      <x:c r="I22" s="90" t="str">
        <x:v>PR-014</x:v>
      </x:c>
      <x:c r="J22" s="91" t="str">
        <x:v>Not Started</x:v>
      </x:c>
      <x:c r="K22" s="91" t="str"/>
      <x:c r="L22" s="91" t="str"/>
      <x:c r="M22" s="91" t="str"/>
      <x:c r="N22" s="91" t="str"/>
      <x:c r="O22" s="91" t="str"/>
      <x:c r="P22" s="92" t="str"/>
      <x:c r="Q22" s="91" t="str"/>
    </x:row>
    <x:row r="23">
      <x:c r="A23" s="90" t="str">
        <x:v>SOC2-USR-002</x:v>
      </x:c>
      <x:c r="B23" s="90" t="str">
        <x:v>User Administration</x:v>
      </x:c>
      <x:c r="C23" s="90" t="str">
        <x:v>Duplicate email rejected</x:v>
      </x:c>
      <x:c r="D23" s="90" t="str">
        <x:v>High</x:v>
      </x:c>
      <x:c r="E23" s="90" t="str">
        <x:v>Platform Administrator</x:v>
      </x:c>
      <x:c r="F23" s="90" t="str">
        <x:v>Disposable user already created.</x:v>
      </x:c>
      <x:c r="G23" s="90" t="str">
        <x:v>Create another account with same email.</x:v>
      </x:c>
      <x:c r="H23" s="90" t="str">
        <x:v>Duplicate rejected; no second account; original unchanged.</x:v>
      </x:c>
      <x:c r="I23" s="90" t="str">
        <x:v>PR-014</x:v>
      </x:c>
      <x:c r="J23" s="91" t="str">
        <x:v>Not Started</x:v>
      </x:c>
      <x:c r="K23" s="91" t="str"/>
      <x:c r="L23" s="91" t="str"/>
      <x:c r="M23" s="91" t="str"/>
      <x:c r="N23" s="91" t="str"/>
      <x:c r="O23" s="91" t="str"/>
      <x:c r="P23" s="92" t="str"/>
      <x:c r="Q23" s="91" t="str"/>
    </x:row>
    <x:row r="24">
      <x:c r="A24" s="90" t="str">
        <x:v>SOC2-USR-003</x:v>
      </x:c>
      <x:c r="B24" s="90" t="str">
        <x:v>User Administration</x:v>
      </x:c>
      <x:c r="C24" s="90" t="str">
        <x:v>Invalid email domain rejected</x:v>
      </x:c>
      <x:c r="D24" s="90" t="str">
        <x:v>High</x:v>
      </x:c>
      <x:c r="E24" s="90" t="str">
        <x:v>Platform Administrator</x:v>
      </x:c>
      <x:c r="F24" s="90" t="str">
        <x:v>Rishma authenticated.</x:v>
      </x:c>
      <x:c r="G24" s="90" t="str">
        <x:v>Create user using an unapproved domain.</x:v>
      </x:c>
      <x:c r="H24" s="90" t="str">
        <x:v>Rejected; no password and no incomplete account.</x:v>
      </x:c>
      <x:c r="I24" s="90" t="str">
        <x:v>PR-014</x:v>
      </x:c>
      <x:c r="J24" s="91" t="str">
        <x:v>Not Started</x:v>
      </x:c>
      <x:c r="K24" s="91" t="str"/>
      <x:c r="L24" s="91" t="str"/>
      <x:c r="M24" s="91" t="str"/>
      <x:c r="N24" s="91" t="str"/>
      <x:c r="O24" s="91" t="str"/>
      <x:c r="P24" s="92" t="str"/>
      <x:c r="Q24" s="91" t="str"/>
    </x:row>
    <x:row r="25">
      <x:c r="A25" s="90" t="str">
        <x:v>SOC2-USR-004</x:v>
      </x:c>
      <x:c r="B25" s="90" t="str">
        <x:v>User Administration</x:v>
      </x:c>
      <x:c r="C25" s="90" t="str">
        <x:v>Suspend and reactivate account</x:v>
      </x:c>
      <x:c r="D25" s="90" t="str">
        <x:v>Critical</x:v>
      </x:c>
      <x:c r="E25" s="90" t="str">
        <x:v>Platform Administrator</x:v>
      </x:c>
      <x:c r="F25" s="90" t="str">
        <x:v>Disposable user exists.</x:v>
      </x:c>
      <x:c r="G25" s="90" t="str">
        <x:v>Suspend with reason; verify login rejected; reactivate with new reason.</x:v>
      </x:c>
      <x:c r="H25" s="90" t="str">
        <x:v>Suspension blocks login; reactivation audited; permissions unchanged.</x:v>
      </x:c>
      <x:c r="I25" s="90" t="str">
        <x:v>PR-014</x:v>
      </x:c>
      <x:c r="J25" s="91" t="str">
        <x:v>Not Started</x:v>
      </x:c>
      <x:c r="K25" s="91" t="str"/>
      <x:c r="L25" s="91" t="str"/>
      <x:c r="M25" s="91" t="str"/>
      <x:c r="N25" s="91" t="str"/>
      <x:c r="O25" s="91" t="str"/>
      <x:c r="P25" s="92" t="str"/>
      <x:c r="Q25" s="91" t="str"/>
    </x:row>
    <x:row r="26">
      <x:c r="A26" s="90" t="str">
        <x:v>SOC2-CALL-001</x:v>
      </x:c>
      <x:c r="B26" s="90" t="str">
        <x:v>Manual Call Intake</x:v>
      </x:c>
      <x:c r="C26" s="90" t="str">
        <x:v>Employee manual call</x:v>
      </x:c>
      <x:c r="D26" s="90" t="str">
        <x:v>Critical</x:v>
      </x:c>
      <x:c r="E26" s="90" t="str">
        <x:v>Triage Nurse</x:v>
      </x:c>
      <x:c r="F26" s="90" t="str">
        <x:v>Layla authenticated.</x:v>
      </x:c>
      <x:c r="G26" s="90" t="str">
        <x:v>Add Call; identify IST-1001; select Phone; enter 'Persistent cough and shortness of breath'; Add Call.</x:v>
      </x:c>
      <x:c r="H26" s="90" t="str">
        <x:v>Staff identified; queue item created; reason continues to matching; no server error.</x:v>
      </x:c>
      <x:c r="I26" s="90" t="str">
        <x:v>Manual Intake</x:v>
      </x:c>
      <x:c r="J26" s="91" t="str">
        <x:v>Not Started</x:v>
      </x:c>
      <x:c r="K26" s="91" t="str"/>
      <x:c r="L26" s="91" t="str"/>
      <x:c r="M26" s="91" t="str"/>
      <x:c r="N26" s="91" t="str"/>
      <x:c r="O26" s="91" t="str"/>
      <x:c r="P26" s="92" t="str"/>
      <x:c r="Q26" s="91" t="str"/>
    </x:row>
    <x:row r="27">
      <x:c r="A27" s="90" t="str">
        <x:v>SOC2-CALL-002</x:v>
      </x:c>
      <x:c r="B27" s="90" t="str">
        <x:v>Manual Call Intake</x:v>
      </x:c>
      <x:c r="C27" s="90" t="str">
        <x:v>Dependent manual call</x:v>
      </x:c>
      <x:c r="D27" s="90" t="str">
        <x:v>Critical</x:v>
      </x:c>
      <x:c r="E27" s="90" t="str">
        <x:v>Triage Nurse</x:v>
      </x:c>
      <x:c r="F27" s="90" t="str">
        <x:v>Layla authenticated.</x:v>
      </x:c>
      <x:c r="G27" s="90" t="str">
        <x:v>Add Call; identify dep_ist_1001_child_01; enter pediatric breathing reason; Add Call.</x:v>
      </x:c>
      <x:c r="H27" s="90" t="str">
        <x:v>Dependent and sponsor resolved; pediatric age used; queue item created.</x:v>
      </x:c>
      <x:c r="I27" s="90" t="str">
        <x:v>Manual Intake</x:v>
      </x:c>
      <x:c r="J27" s="91" t="str">
        <x:v>Not Started</x:v>
      </x:c>
      <x:c r="K27" s="91" t="str"/>
      <x:c r="L27" s="91" t="str"/>
      <x:c r="M27" s="91" t="str"/>
      <x:c r="N27" s="91" t="str"/>
      <x:c r="O27" s="91" t="str"/>
      <x:c r="P27" s="92" t="str"/>
      <x:c r="Q27" s="91" t="str"/>
    </x:row>
    <x:row r="28">
      <x:c r="A28" s="90" t="str">
        <x:v>SOC2-CALL-003</x:v>
      </x:c>
      <x:c r="B28" s="90" t="str">
        <x:v>Manual Call Intake</x:v>
      </x:c>
      <x:c r="C28" s="90" t="str">
        <x:v>Unknown identifier rejected</x:v>
      </x:c>
      <x:c r="D28" s="90" t="str">
        <x:v>High</x:v>
      </x:c>
      <x:c r="E28" s="90" t="str">
        <x:v>Triage Nurse</x:v>
      </x:c>
      <x:c r="F28" s="90" t="str">
        <x:v>Layla authenticated.</x:v>
      </x:c>
      <x:c r="G28" s="90" t="str">
        <x:v>Enter IST-999999 and identify.</x:v>
      </x:c>
      <x:c r="H28" s="90" t="str">
        <x:v>Not-found/ineligible message; Add Call blocked; no queue record.</x:v>
      </x:c>
      <x:c r="I28" s="90" t="str">
        <x:v>Manual Intake</x:v>
      </x:c>
      <x:c r="J28" s="91" t="str">
        <x:v>Not Started</x:v>
      </x:c>
      <x:c r="K28" s="91" t="str"/>
      <x:c r="L28" s="91" t="str"/>
      <x:c r="M28" s="91" t="str"/>
      <x:c r="N28" s="91" t="str"/>
      <x:c r="O28" s="91" t="str"/>
      <x:c r="P28" s="92" t="str"/>
      <x:c r="Q28" s="91" t="str"/>
    </x:row>
    <x:row r="29">
      <x:c r="A29" s="90" t="str">
        <x:v>SOC2-CALL-004</x:v>
      </x:c>
      <x:c r="B29" s="90" t="str">
        <x:v>Manual Call Intake</x:v>
      </x:c>
      <x:c r="C29" s="90" t="str">
        <x:v>Missing reason rejected</x:v>
      </x:c>
      <x:c r="D29" s="90" t="str">
        <x:v>High</x:v>
      </x:c>
      <x:c r="E29" s="90" t="str">
        <x:v>Triage Nurse</x:v>
      </x:c>
      <x:c r="F29" s="90" t="str">
        <x:v>Valid employee resolved.</x:v>
      </x:c>
      <x:c r="G29" s="90" t="str">
        <x:v>Leave reason blank and attempt Add Call.</x:v>
      </x:c>
      <x:c r="H29" s="90" t="str">
        <x:v>Mandatory reason validation; no queue record.</x:v>
      </x:c>
      <x:c r="I29" s="90" t="str">
        <x:v>Manual Intake</x:v>
      </x:c>
      <x:c r="J29" s="91" t="str">
        <x:v>Not Started</x:v>
      </x:c>
      <x:c r="K29" s="91" t="str"/>
      <x:c r="L29" s="91" t="str"/>
      <x:c r="M29" s="91" t="str"/>
      <x:c r="N29" s="91" t="str"/>
      <x:c r="O29" s="91" t="str"/>
      <x:c r="P29" s="92" t="str"/>
      <x:c r="Q29" s="91" t="str"/>
    </x:row>
    <x:row r="30">
      <x:c r="A30" s="90" t="str">
        <x:v>SOC2-CALL-005</x:v>
      </x:c>
      <x:c r="B30" s="90" t="str">
        <x:v>Manual Call Intake</x:v>
      </x:c>
      <x:c r="C30" s="90" t="str">
        <x:v>Stale patient selection cleared</x:v>
      </x:c>
      <x:c r="D30" s="90" t="str">
        <x:v>High</x:v>
      </x:c>
      <x:c r="E30" s="90" t="str">
        <x:v>Triage Nurse</x:v>
      </x:c>
      <x:c r="F30" s="90" t="str">
        <x:v>IST-1001 resolved.</x:v>
      </x:c>
      <x:c r="G30" s="90" t="str">
        <x:v>Change identifier to IST-2002 and attempt Add Call without re-identification.</x:v>
      </x:c>
      <x:c r="H30" s="90" t="str">
        <x:v>Old selection cleared; new identification required.</x:v>
      </x:c>
      <x:c r="I30" s="90" t="str">
        <x:v>Manual Intake</x:v>
      </x:c>
      <x:c r="J30" s="91" t="str">
        <x:v>Not Started</x:v>
      </x:c>
      <x:c r="K30" s="91" t="str"/>
      <x:c r="L30" s="91" t="str"/>
      <x:c r="M30" s="91" t="str"/>
      <x:c r="N30" s="91" t="str"/>
      <x:c r="O30" s="91" t="str"/>
      <x:c r="P30" s="92" t="str"/>
      <x:c r="Q30" s="91" t="str"/>
    </x:row>
    <x:row r="31">
      <x:c r="A31" s="90" t="str">
        <x:v>SOC2-PROT-001</x:v>
      </x:c>
      <x:c r="B31" s="90" t="str">
        <x:v>Protocol Matching</x:v>
      </x:c>
      <x:c r="C31" s="90" t="str">
        <x:v>Clear match for each approved protocol</x:v>
      </x:c>
      <x:c r="D31" s="90" t="str">
        <x:v>Critical</x:v>
      </x:c>
      <x:c r="E31" s="90" t="str">
        <x:v>Clinical QA + Triage Nurse</x:v>
      </x:c>
      <x:c r="F31" s="90" t="str">
        <x:v>Five approved protocols and clear narratives available.</x:v>
      </x:c>
      <x:c r="G31" s="90" t="str">
        <x:v>For each protocol, add a clearly matching reason; review and confirm suggestion; proceed.</x:v>
      </x:c>
      <x:c r="H31" s="90" t="str">
        <x:v>Intended protocol selected; protocol identity stable; only its questions shown.</x:v>
      </x:c>
      <x:c r="I31" s="90" t="str">
        <x:v>PR-006, PR-015</x:v>
      </x:c>
      <x:c r="J31" s="91" t="str">
        <x:v>Not Started</x:v>
      </x:c>
      <x:c r="K31" s="91" t="str"/>
      <x:c r="L31" s="91" t="str"/>
      <x:c r="M31" s="91" t="str"/>
      <x:c r="N31" s="91" t="str"/>
      <x:c r="O31" s="91" t="str"/>
      <x:c r="P31" s="92" t="str"/>
      <x:c r="Q31" s="91" t="str"/>
    </x:row>
    <x:row r="32">
      <x:c r="A32" s="90" t="str">
        <x:v>SOC2-PROT-002</x:v>
      </x:c>
      <x:c r="B32" s="90" t="str">
        <x:v>Protocol Matching</x:v>
      </x:c>
      <x:c r="C32" s="90" t="str">
        <x:v>Ambiguous match for each protocol</x:v>
      </x:c>
      <x:c r="D32" s="90" t="str">
        <x:v>Critical</x:v>
      </x:c>
      <x:c r="E32" s="90" t="str">
        <x:v>Clinical QA + Triage Nurse</x:v>
      </x:c>
      <x:c r="F32" s="90" t="str">
        <x:v>Ambiguous narratives approved for UAT.</x:v>
      </x:c>
      <x:c r="G32" s="90" t="str">
        <x:v>For each protocol, enter wording that could match two protocols.</x:v>
      </x:c>
      <x:c r="H32" s="90" t="str">
        <x:v>Ambiguity disclosed; no unsafe silent selection; nurse confirmation required.</x:v>
      </x:c>
      <x:c r="I32" s="90" t="str">
        <x:v>PR-015</x:v>
      </x:c>
      <x:c r="J32" s="91" t="str">
        <x:v>Not Started</x:v>
      </x:c>
      <x:c r="K32" s="91" t="str"/>
      <x:c r="L32" s="91" t="str"/>
      <x:c r="M32" s="91" t="str"/>
      <x:c r="N32" s="91" t="str"/>
      <x:c r="O32" s="91" t="str"/>
      <x:c r="P32" s="92" t="str"/>
      <x:c r="Q32" s="91" t="str"/>
    </x:row>
    <x:row r="33">
      <x:c r="A33" s="90" t="str">
        <x:v>SOC2-PROT-003</x:v>
      </x:c>
      <x:c r="B33" s="90" t="str">
        <x:v>Protocol Matching</x:v>
      </x:c>
      <x:c r="C33" s="90" t="str">
        <x:v>No-match for each protocol</x:v>
      </x:c>
      <x:c r="D33" s="90" t="str">
        <x:v>Critical</x:v>
      </x:c>
      <x:c r="E33" s="90" t="str">
        <x:v>Clinical QA + Triage Nurse</x:v>
      </x:c>
      <x:c r="F33" s="90" t="str">
        <x:v>Out-of-scope narratives available.</x:v>
      </x:c>
      <x:c r="G33" s="90" t="str">
        <x:v>Enter narratives unrelated to the approved five protocols.</x:v>
      </x:c>
      <x:c r="H33" s="90" t="str">
        <x:v>No confident protocol invented; governed nurse review/manual selection required.</x:v>
      </x:c>
      <x:c r="I33" s="90" t="str">
        <x:v>PR-015</x:v>
      </x:c>
      <x:c r="J33" s="91" t="str">
        <x:v>Not Started</x:v>
      </x:c>
      <x:c r="K33" s="91" t="str"/>
      <x:c r="L33" s="91" t="str"/>
      <x:c r="M33" s="91" t="str"/>
      <x:c r="N33" s="91" t="str"/>
      <x:c r="O33" s="91" t="str"/>
      <x:c r="P33" s="92" t="str"/>
      <x:c r="Q33" s="91" t="str"/>
    </x:row>
    <x:row r="34">
      <x:c r="A34" s="90" t="str">
        <x:v>SOC2-PROT-004</x:v>
      </x:c>
      <x:c r="B34" s="90" t="str">
        <x:v>Protocol Matching</x:v>
      </x:c>
      <x:c r="C34" s="90" t="str">
        <x:v>Misspelling and abbreviation matrix</x:v>
      </x:c>
      <x:c r="D34" s="90" t="str">
        <x:v>High</x:v>
      </x:c>
      <x:c r="E34" s="90" t="str">
        <x:v>Clinical QA + Triage Nurse</x:v>
      </x:c>
      <x:c r="F34" s="90" t="str">
        <x:v>Misspelled and abbreviated narratives available.</x:v>
      </x:c>
      <x:c r="G34" s="90" t="str">
        <x:v>Run misspelling and abbreviation cases for each protocol.</x:v>
      </x:c>
      <x:c r="H34" s="90" t="str">
        <x:v>Safe suggestion when supported; ambiguity retained; deterministic safety floor works.</x:v>
      </x:c>
      <x:c r="I34" s="90" t="str">
        <x:v>PR-015</x:v>
      </x:c>
      <x:c r="J34" s="91" t="str">
        <x:v>Not Started</x:v>
      </x:c>
      <x:c r="K34" s="91" t="str"/>
      <x:c r="L34" s="91" t="str"/>
      <x:c r="M34" s="91" t="str"/>
      <x:c r="N34" s="91" t="str"/>
      <x:c r="O34" s="91" t="str"/>
      <x:c r="P34" s="92" t="str"/>
      <x:c r="Q34" s="91" t="str"/>
    </x:row>
    <x:row r="35">
      <x:c r="A35" s="90" t="str">
        <x:v>SOC2-PROT-005</x:v>
      </x:c>
      <x:c r="B35" s="90" t="str">
        <x:v>Protocol Matching</x:v>
      </x:c>
      <x:c r="C35" s="90" t="str">
        <x:v>Nurse protocol override</x:v>
      </x:c>
      <x:c r="D35" s="90" t="str">
        <x:v>Critical</x:v>
      </x:c>
      <x:c r="E35" s="90" t="str">
        <x:v>Clinical QA + Triage Nurse</x:v>
      </x:c>
      <x:c r="F35" s="90" t="str">
        <x:v>Suggested protocol differs from clinically approved final selection.</x:v>
      </x:c>
      <x:c r="G35" s="90" t="str">
        <x:v>Select alternate approved protocol; enter override reason; continue.</x:v>
      </x:c>
      <x:c r="H35" s="90" t="str">
        <x:v>Override reason captured; selected protocol becomes authoritative; action audited.</x:v>
      </x:c>
      <x:c r="I35" s="90" t="str">
        <x:v>PR-015</x:v>
      </x:c>
      <x:c r="J35" s="91" t="str">
        <x:v>Not Started</x:v>
      </x:c>
      <x:c r="K35" s="91" t="str"/>
      <x:c r="L35" s="91" t="str"/>
      <x:c r="M35" s="91" t="str"/>
      <x:c r="N35" s="91" t="str"/>
      <x:c r="O35" s="91" t="str"/>
      <x:c r="P35" s="92" t="str"/>
      <x:c r="Q35" s="91" t="str"/>
    </x:row>
    <x:row r="36">
      <x:c r="A36" s="90" t="str">
        <x:v>SOC2-CARE-001</x:v>
      </x:c>
      <x:c r="B36" s="90" t="str">
        <x:v>Care Advice Lineage</x:v>
      </x:c>
      <x:c r="C36" s="90" t="str">
        <x:v>Exact-question care advice</x:v>
      </x:c>
      <x:c r="D36" s="90" t="str">
        <x:v>Critical</x:v>
      </x:c>
      <x:c r="E36" s="90" t="str">
        <x:v>Clinical QA + Triage Nurse</x:v>
      </x:c>
      <x:c r="F36" s="90" t="str">
        <x:v>Two paths share a disposition but have different questions.</x:v>
      </x:c>
      <x:c r="G36" s="90" t="str">
        <x:v>Complete path A and record advice; complete path B with same disposition; compare lineage.</x:v>
      </x:c>
      <x:c r="H36" s="90" t="str">
        <x:v>Advice is tied to exact protocol/question, not merely disposition code.</x:v>
      </x:c>
      <x:c r="I36" s="90" t="str">
        <x:v>PR-006</x:v>
      </x:c>
      <x:c r="J36" s="91" t="str">
        <x:v>Not Started</x:v>
      </x:c>
      <x:c r="K36" s="91" t="str"/>
      <x:c r="L36" s="91" t="str"/>
      <x:c r="M36" s="91" t="str"/>
      <x:c r="N36" s="91" t="str"/>
      <x:c r="O36" s="91" t="str"/>
      <x:c r="P36" s="92" t="str"/>
      <x:c r="Q36" s="91" t="str"/>
    </x:row>
    <x:row r="37">
      <x:c r="A37" s="90" t="str">
        <x:v>SOC2-CARE-002</x:v>
      </x:c>
      <x:c r="B37" s="90" t="str">
        <x:v>Care Advice Lineage</x:v>
      </x:c>
      <x:c r="C37" s="90" t="str">
        <x:v>Missing exact advice fails safely</x:v>
      </x:c>
      <x:c r="D37" s="90" t="str">
        <x:v>Critical</x:v>
      </x:c>
      <x:c r="E37" s="90" t="str">
        <x:v>Clinical QA + Triage Nurse</x:v>
      </x:c>
      <x:c r="F37" s="90" t="str">
        <x:v>Governed path with no exact advice identified.</x:v>
      </x:c>
      <x:c r="G37" s="90" t="str">
        <x:v>Complete the path and inspect advice response.</x:v>
      </x:c>
      <x:c r="H37" s="90" t="str">
        <x:v>No unrelated fallback advice; explicit absence or governed review.</x:v>
      </x:c>
      <x:c r="I37" s="90" t="str">
        <x:v>PR-006</x:v>
      </x:c>
      <x:c r="J37" s="91" t="str">
        <x:v>Not Started</x:v>
      </x:c>
      <x:c r="K37" s="91" t="str"/>
      <x:c r="L37" s="91" t="str"/>
      <x:c r="M37" s="91" t="str"/>
      <x:c r="N37" s="91" t="str"/>
      <x:c r="O37" s="91" t="str"/>
      <x:c r="P37" s="92" t="str"/>
      <x:c r="Q37" s="91" t="str"/>
    </x:row>
    <x:row r="38">
      <x:c r="A38" s="90" t="str">
        <x:v>SOC2-CARE-003</x:v>
      </x:c>
      <x:c r="B38" s="90" t="str">
        <x:v>Care Advice Lineage</x:v>
      </x:c>
      <x:c r="C38" s="90" t="str">
        <x:v>Emergency safety floor cannot downgrade</x:v>
      </x:c>
      <x:c r="D38" s="90" t="str">
        <x:v>Critical</x:v>
      </x:c>
      <x:c r="E38" s="90" t="str">
        <x:v>Clinical QA + Triage Nurse</x:v>
      </x:c>
      <x:c r="F38" s="90" t="str">
        <x:v>Emergency question path available.</x:v>
      </x:c>
      <x:c r="G38" s="90" t="str">
        <x:v>Answer emergency-positive then subsequent lower-acuity responses; complete assessment.</x:v>
      </x:c>
      <x:c r="H38" s="90" t="str">
        <x:v>Emergency severity and disposition retained; correct emergency advice shown.</x:v>
      </x:c>
      <x:c r="I38" s="90" t="str">
        <x:v>PR-006</x:v>
      </x:c>
      <x:c r="J38" s="91" t="str">
        <x:v>Not Started</x:v>
      </x:c>
      <x:c r="K38" s="91" t="str"/>
      <x:c r="L38" s="91" t="str"/>
      <x:c r="M38" s="91" t="str"/>
      <x:c r="N38" s="91" t="str"/>
      <x:c r="O38" s="91" t="str"/>
      <x:c r="P38" s="92" t="str"/>
      <x:c r="Q38" s="91" t="str"/>
    </x:row>
    <x:row r="39">
      <x:c r="A39" s="90" t="str">
        <x:v>SOC2-FTF-001</x:v>
      </x:c>
      <x:c r="B39" s="90" t="str">
        <x:v>Fit-to-Fly</x:v>
      </x:c>
      <x:c r="C39" s="90" t="str">
        <x:v>Emergency outcome</x:v>
      </x:c>
      <x:c r="D39" s="90" t="str">
        <x:v>Critical</x:v>
      </x:c>
      <x:c r="E39" s="90" t="str">
        <x:v>Clinical QA + Triage Nurse</x:v>
      </x:c>
      <x:c r="F39" s="90" t="str">
        <x:v>Emergency scenario available.</x:v>
      </x:c>
      <x:c r="G39" s="90" t="str">
        <x:v>Complete emergency scenario and review fit-to-fly.</x:v>
      </x:c>
      <x:c r="H39" s="90" t="str">
        <x:v>RESTRICTED.</x:v>
      </x:c>
      <x:c r="I39" s="90" t="str">
        <x:v>Fit-to-Fly</x:v>
      </x:c>
      <x:c r="J39" s="91" t="str">
        <x:v>Not Started</x:v>
      </x:c>
      <x:c r="K39" s="91" t="str"/>
      <x:c r="L39" s="91" t="str"/>
      <x:c r="M39" s="91" t="str"/>
      <x:c r="N39" s="91" t="str"/>
      <x:c r="O39" s="91" t="str"/>
      <x:c r="P39" s="92" t="str"/>
      <x:c r="Q39" s="91" t="str"/>
    </x:row>
    <x:row r="40">
      <x:c r="A40" s="90" t="str">
        <x:v>SOC2-FTF-002</x:v>
      </x:c>
      <x:c r="B40" s="90" t="str">
        <x:v>Fit-to-Fly</x:v>
      </x:c>
      <x:c r="C40" s="90" t="str">
        <x:v>Urgent outcome</x:v>
      </x:c>
      <x:c r="D40" s="90" t="str">
        <x:v>Critical</x:v>
      </x:c>
      <x:c r="E40" s="90" t="str">
        <x:v>Clinical QA + Triage Nurse</x:v>
      </x:c>
      <x:c r="F40" s="90" t="str">
        <x:v>Urgent scenario available.</x:v>
      </x:c>
      <x:c r="G40" s="90" t="str">
        <x:v>Complete urgent scenario and review fit-to-fly.</x:v>
      </x:c>
      <x:c r="H40" s="90" t="str">
        <x:v>RESTRICTED.</x:v>
      </x:c>
      <x:c r="I40" s="90" t="str">
        <x:v>Fit-to-Fly</x:v>
      </x:c>
      <x:c r="J40" s="91" t="str">
        <x:v>Not Started</x:v>
      </x:c>
      <x:c r="K40" s="91" t="str"/>
      <x:c r="L40" s="91" t="str"/>
      <x:c r="M40" s="91" t="str"/>
      <x:c r="N40" s="91" t="str"/>
      <x:c r="O40" s="91" t="str"/>
      <x:c r="P40" s="92" t="str"/>
      <x:c r="Q40" s="91" t="str"/>
    </x:row>
    <x:row r="41">
      <x:c r="A41" s="90" t="str">
        <x:v>SOC2-FTF-003</x:v>
      </x:c>
      <x:c r="B41" s="90" t="str">
        <x:v>Fit-to-Fly</x:v>
      </x:c>
      <x:c r="C41" s="90" t="str">
        <x:v>Routine safety-sensitive crew</x:v>
      </x:c>
      <x:c r="D41" s="90" t="str">
        <x:v>Critical</x:v>
      </x:c>
      <x:c r="E41" s="90" t="str">
        <x:v>Clinical QA + Triage Nurse</x:v>
      </x:c>
      <x:c r="F41" s="90" t="str">
        <x:v>Pilot/Captain/First Officer/Flight Deck/Cabin Crew scenario available.</x:v>
      </x:c>
      <x:c r="G41" s="90" t="str">
        <x:v>Complete routine scenario for safety-sensitive employee.</x:v>
      </x:c>
      <x:c r="H41" s="90" t="str">
        <x:v>MEDICAL_REVIEW_REQUIRED.</x:v>
      </x:c>
      <x:c r="I41" s="90" t="str">
        <x:v>Fit-to-Fly</x:v>
      </x:c>
      <x:c r="J41" s="91" t="str">
        <x:v>Not Started</x:v>
      </x:c>
      <x:c r="K41" s="91" t="str"/>
      <x:c r="L41" s="91" t="str"/>
      <x:c r="M41" s="91" t="str"/>
      <x:c r="N41" s="91" t="str"/>
      <x:c r="O41" s="91" t="str"/>
      <x:c r="P41" s="92" t="str"/>
      <x:c r="Q41" s="91" t="str"/>
    </x:row>
    <x:row r="42">
      <x:c r="A42" s="90" t="str">
        <x:v>SOC2-FTF-004</x:v>
      </x:c>
      <x:c r="B42" s="90" t="str">
        <x:v>Fit-to-Fly</x:v>
      </x:c>
      <x:c r="C42" s="90" t="str">
        <x:v>Self-care with review or duty tag</x:v>
      </x:c>
      <x:c r="D42" s="90" t="str">
        <x:v>Critical</x:v>
      </x:c>
      <x:c r="E42" s="90" t="str">
        <x:v>Clinical QA + Triage Nurse</x:v>
      </x:c>
      <x:c r="F42" s="90" t="str">
        <x:v>Self-care scenario contains fit-to-fly review, duty restriction or sickness validation tag.</x:v>
      </x:c>
      <x:c r="G42" s="90" t="str">
        <x:v>Complete assessment and inspect outcome.</x:v>
      </x:c>
      <x:c r="H42" s="90" t="str">
        <x:v>MEDICAL_REVIEW_REQUIRED.</x:v>
      </x:c>
      <x:c r="I42" s="90" t="str">
        <x:v>Fit-to-Fly</x:v>
      </x:c>
      <x:c r="J42" s="91" t="str">
        <x:v>Not Started</x:v>
      </x:c>
      <x:c r="K42" s="91" t="str"/>
      <x:c r="L42" s="91" t="str"/>
      <x:c r="M42" s="91" t="str"/>
      <x:c r="N42" s="91" t="str"/>
      <x:c r="O42" s="91" t="str"/>
      <x:c r="P42" s="92" t="str"/>
      <x:c r="Q42" s="91" t="str"/>
    </x:row>
    <x:row r="43">
      <x:c r="A43" s="90" t="str">
        <x:v>SOC2-FTF-005</x:v>
      </x:c>
      <x:c r="B43" s="90" t="str">
        <x:v>Fit-to-Fly</x:v>
      </x:c>
      <x:c r="C43" s="90" t="str">
        <x:v>Missing severity</x:v>
      </x:c>
      <x:c r="D43" s="90" t="str">
        <x:v>Critical</x:v>
      </x:c>
      <x:c r="E43" s="90" t="str">
        <x:v>Clinical QA + Triage Nurse</x:v>
      </x:c>
      <x:c r="F43" s="90" t="str">
        <x:v>Governed missing-severity case available.</x:v>
      </x:c>
      <x:c r="G43" s="90" t="str">
        <x:v>Evaluate fit-to-fly without calculated severity.</x:v>
      </x:c>
      <x:c r="H43" s="90" t="str">
        <x:v>MEDICAL_REVIEW_REQUIRED; never defaults to fit.</x:v>
      </x:c>
      <x:c r="I43" s="90" t="str">
        <x:v>Fit-to-Fly</x:v>
      </x:c>
      <x:c r="J43" s="91" t="str">
        <x:v>Not Started</x:v>
      </x:c>
      <x:c r="K43" s="91" t="str"/>
      <x:c r="L43" s="91" t="str"/>
      <x:c r="M43" s="91" t="str"/>
      <x:c r="N43" s="91" t="str"/>
      <x:c r="O43" s="91" t="str"/>
      <x:c r="P43" s="92" t="str"/>
      <x:c r="Q43" s="91" t="str"/>
    </x:row>
    <x:row r="44">
      <x:c r="A44" s="90" t="str">
        <x:v>SOC2-FTF-006</x:v>
      </x:c>
      <x:c r="B44" s="90" t="str">
        <x:v>Fit-to-Fly</x:v>
      </x:c>
      <x:c r="C44" s="90" t="str">
        <x:v>Shared destination does not determine severity</x:v>
      </x:c>
      <x:c r="D44" s="90" t="str">
        <x:v>Critical</x:v>
      </x:c>
      <x:c r="E44" s="90" t="str">
        <x:v>Clinical QA + Triage Nurse</x:v>
      </x:c>
      <x:c r="F44" s="90" t="str">
        <x:v>Two cases share destination but differ in severity.</x:v>
      </x:c>
      <x:c r="G44" s="90" t="str">
        <x:v>Complete both and compare severity and fit-to-fly.</x:v>
      </x:c>
      <x:c r="H44" s="90" t="str">
        <x:v>Protocol severity remains authoritative; destination does not control outcome.</x:v>
      </x:c>
      <x:c r="I44" s="90" t="str">
        <x:v>Fit-to-Fly</x:v>
      </x:c>
      <x:c r="J44" s="91" t="str">
        <x:v>Not Started</x:v>
      </x:c>
      <x:c r="K44" s="91" t="str"/>
      <x:c r="L44" s="91" t="str"/>
      <x:c r="M44" s="91" t="str"/>
      <x:c r="N44" s="91" t="str"/>
      <x:c r="O44" s="91" t="str"/>
      <x:c r="P44" s="92" t="str"/>
      <x:c r="Q44" s="91" t="str"/>
    </x:row>
    <x:row r="45">
      <x:c r="A45" s="90" t="str">
        <x:v>SOC2-FOCUS-001</x:v>
      </x:c>
      <x:c r="B45" s="90" t="str">
        <x:v>Active Call Focus</x:v>
      </x:c>
      <x:c r="C45" s="90" t="str">
        <x:v>Navigation blocked during active call</x:v>
      </x:c>
      <x:c r="D45" s="90" t="str">
        <x:v>Critical</x:v>
      </x:c>
      <x:c r="E45" s="90" t="str">
        <x:v>Triage Nurse</x:v>
      </x:c>
      <x:c r="F45" s="90" t="str">
        <x:v>Layla has an active call.</x:v>
      </x:c>
      <x:c r="G45" s="90" t="str">
        <x:v>Attempt sidebar, browser back, direct route, Help and logout.</x:v>
      </x:c>
      <x:c r="H45" s="90" t="str">
        <x:v>Nurse remains on active call; clear hold-first guidance; state retained.</x:v>
      </x:c>
      <x:c r="I45" s="90" t="str">
        <x:v>Active Call Focus</x:v>
      </x:c>
      <x:c r="J45" s="91" t="str">
        <x:v>Not Started</x:v>
      </x:c>
      <x:c r="K45" s="91" t="str"/>
      <x:c r="L45" s="91" t="str"/>
      <x:c r="M45" s="91" t="str"/>
      <x:c r="N45" s="91" t="str"/>
      <x:c r="O45" s="91" t="str"/>
      <x:c r="P45" s="92" t="str"/>
      <x:c r="Q45" s="91" t="str"/>
    </x:row>
    <x:row r="46">
      <x:c r="A46" s="90" t="str">
        <x:v>SOC2-FOCUS-002</x:v>
      </x:c>
      <x:c r="B46" s="90" t="str">
        <x:v>Active Call Focus</x:v>
      </x:c>
      <x:c r="C46" s="90" t="str">
        <x:v>Hold enables navigation</x:v>
      </x:c>
      <x:c r="D46" s="90" t="str">
        <x:v>High</x:v>
      </x:c>
      <x:c r="E46" s="90" t="str">
        <x:v>Triage Nurse</x:v>
      </x:c>
      <x:c r="F46" s="90" t="str">
        <x:v>Active call exists.</x:v>
      </x:c>
      <x:c r="G46" s="90" t="str">
        <x:v>Click Hold Call; navigate away; return and resume.</x:v>
      </x:c>
      <x:c r="H46" s="90" t="str">
        <x:v>Navigation enabled; held call retained; clinical state restored.</x:v>
      </x:c>
      <x:c r="I46" s="90" t="str">
        <x:v>Active Call Focus</x:v>
      </x:c>
      <x:c r="J46" s="91" t="str">
        <x:v>Not Started</x:v>
      </x:c>
      <x:c r="K46" s="91" t="str"/>
      <x:c r="L46" s="91" t="str"/>
      <x:c r="M46" s="91" t="str"/>
      <x:c r="N46" s="91" t="str"/>
      <x:c r="O46" s="91" t="str"/>
      <x:c r="P46" s="92" t="str"/>
      <x:c r="Q46" s="91" t="str"/>
    </x:row>
    <x:row r="47">
      <x:c r="A47" s="90" t="str">
        <x:v>SOC2-FOCUS-003</x:v>
      </x:c>
      <x:c r="B47" s="90" t="str">
        <x:v>Active Call Focus</x:v>
      </x:c>
      <x:c r="C47" s="90" t="str">
        <x:v>Two-held-call limit</x:v>
      </x:c>
      <x:c r="D47" s="90" t="str">
        <x:v>Critical</x:v>
      </x:c>
      <x:c r="E47" s="90" t="str">
        <x:v>Triage Nurse</x:v>
      </x:c>
      <x:c r="F47" s="90" t="str">
        <x:v>Three calls available.</x:v>
      </x:c>
      <x:c r="G47" s="90" t="str">
        <x:v>Hold calls A and B; start C; attempt to hold C.</x:v>
      </x:c>
      <x:c r="H47" s="90" t="str">
        <x:v>Third hold rejected; A and B preserved; C remains governed.</x:v>
      </x:c>
      <x:c r="I47" s="90" t="str">
        <x:v>Active Call Focus</x:v>
      </x:c>
      <x:c r="J47" s="91" t="str">
        <x:v>Not Started</x:v>
      </x:c>
      <x:c r="K47" s="91" t="str"/>
      <x:c r="L47" s="91" t="str"/>
      <x:c r="M47" s="91" t="str"/>
      <x:c r="N47" s="91" t="str"/>
      <x:c r="O47" s="91" t="str"/>
      <x:c r="P47" s="92" t="str"/>
      <x:c r="Q47" s="91" t="str"/>
    </x:row>
    <x:row r="48">
      <x:c r="A48" s="90" t="str">
        <x:v>SOC2-E2E-001</x:v>
      </x:c>
      <x:c r="B48" s="90" t="str">
        <x:v>End-to-End Triage</x:v>
      </x:c>
      <x:c r="C48" s="90" t="str">
        <x:v>Complete employee call</x:v>
      </x:c>
      <x:c r="D48" s="90" t="str">
        <x:v>Critical</x:v>
      </x:c>
      <x:c r="E48" s="90" t="str">
        <x:v>Triage Nurse + Clinical QA</x:v>
      </x:c>
      <x:c r="F48" s="90" t="str">
        <x:v>Valid staff ID and approved scenario available.</x:v>
      </x:c>
      <x:c r="G48" s="90" t="str">
        <x:v>Complete identity, reason, protocol, questions, TAQ, severity, disposition, advice, fit-to-fly, documentation and Complete Call.</x:v>
      </x:c>
      <x:c r="H48" s="90" t="str">
        <x:v>Completion succeeds; lineage intact; queue updated; audit persisted; no Prisma error.</x:v>
      </x:c>
      <x:c r="I48" s="90" t="str">
        <x:v>PR-006, PR-010</x:v>
      </x:c>
      <x:c r="J48" s="91" t="str">
        <x:v>Not Started</x:v>
      </x:c>
      <x:c r="K48" s="91" t="str"/>
      <x:c r="L48" s="91" t="str"/>
      <x:c r="M48" s="91" t="str"/>
      <x:c r="N48" s="91" t="str"/>
      <x:c r="O48" s="91" t="str"/>
      <x:c r="P48" s="92" t="str"/>
      <x:c r="Q48" s="91" t="str"/>
    </x:row>
    <x:row r="49">
      <x:c r="A49" s="90" t="str">
        <x:v>SOC2-E2E-002</x:v>
      </x:c>
      <x:c r="B49" s="90" t="str">
        <x:v>End-to-End Triage</x:v>
      </x:c>
      <x:c r="C49" s="90" t="str">
        <x:v>Complete dependent call</x:v>
      </x:c>
      <x:c r="D49" s="90" t="str">
        <x:v>Critical</x:v>
      </x:c>
      <x:c r="E49" s="90" t="str">
        <x:v>Triage Nurse + Clinical QA</x:v>
      </x:c>
      <x:c r="F49" s="90" t="str">
        <x:v>Valid dependent ID and approved pediatric scenario available.</x:v>
      </x:c>
      <x:c r="G49" s="90" t="str">
        <x:v>Complete full triage using dep_ist_1001_child_02.</x:v>
      </x:c>
      <x:c r="H49" s="90" t="str">
        <x:v>Dependent/sponsor linkage and age correct; completion and audit succeed.</x:v>
      </x:c>
      <x:c r="I49" s="90" t="str">
        <x:v>PR-006, PR-010</x:v>
      </x:c>
      <x:c r="J49" s="91" t="str">
        <x:v>Not Started</x:v>
      </x:c>
      <x:c r="K49" s="91" t="str"/>
      <x:c r="L49" s="91" t="str"/>
      <x:c r="M49" s="91" t="str"/>
      <x:c r="N49" s="91" t="str"/>
      <x:c r="O49" s="91" t="str"/>
      <x:c r="P49" s="92" t="str"/>
      <x:c r="Q49" s="91" t="str"/>
    </x:row>
    <x:row r="50">
      <x:c r="A50" s="90" t="str">
        <x:v>SOC2-AUD-001</x:v>
      </x:c>
      <x:c r="B50" s="90" t="str">
        <x:v>Audit Ledger</x:v>
      </x:c>
      <x:c r="C50" s="90" t="str">
        <x:v>Significant actions create events</x:v>
      </x:c>
      <x:c r="D50" s="90" t="str">
        <x:v>Critical</x:v>
      </x:c>
      <x:c r="E50" s="90" t="str">
        <x:v>Security Architecture</x:v>
      </x:c>
      <x:c r="F50" s="90" t="str">
        <x:v>Credential, MFA, role, call and override actions performed.</x:v>
      </x:c>
      <x:c r="G50" s="90" t="str">
        <x:v>Inspect audit records for generated actions.</x:v>
      </x:c>
      <x:c r="H50" s="90" t="str">
        <x:v>Actor, action, target, purpose, time and outcome populated; no null-constraint error.</x:v>
      </x:c>
      <x:c r="I50" s="90" t="str">
        <x:v>PR-010</x:v>
      </x:c>
      <x:c r="J50" s="91" t="str">
        <x:v>Not Started</x:v>
      </x:c>
      <x:c r="K50" s="91" t="str"/>
      <x:c r="L50" s="91" t="str"/>
      <x:c r="M50" s="91" t="str"/>
      <x:c r="N50" s="91" t="str"/>
      <x:c r="O50" s="91" t="str"/>
      <x:c r="P50" s="92" t="str"/>
      <x:c r="Q50" s="91" t="str"/>
    </x:row>
    <x:row r="51">
      <x:c r="A51" s="90" t="str">
        <x:v>SOC2-AUD-002</x:v>
      </x:c>
      <x:c r="B51" s="90" t="str">
        <x:v>Audit Ledger</x:v>
      </x:c>
      <x:c r="C51" s="90" t="str">
        <x:v>Audit chain verification</x:v>
      </x:c>
      <x:c r="D51" s="90" t="str">
        <x:v>Critical</x:v>
      </x:c>
      <x:c r="E51" s="90" t="str">
        <x:v>Security Architecture</x:v>
      </x:c>
      <x:c r="F51" s="90" t="str">
        <x:v>Authenticated authorized administrator available.</x:v>
      </x:c>
      <x:c r="G51" s="90" t="str">
        <x:v>Run or inspect ledger chain verification.</x:v>
      </x:c>
      <x:c r="H51" s="90" t="str">
        <x:v>Chain valid; normalized payloads accepted; hashes linked.</x:v>
      </x:c>
      <x:c r="I51" s="90" t="str">
        <x:v>PR-010</x:v>
      </x:c>
      <x:c r="J51" s="91" t="str">
        <x:v>Not Started</x:v>
      </x:c>
      <x:c r="K51" s="91" t="str"/>
      <x:c r="L51" s="91" t="str"/>
      <x:c r="M51" s="91" t="str"/>
      <x:c r="N51" s="91" t="str"/>
      <x:c r="O51" s="91" t="str"/>
      <x:c r="P51" s="92" t="str"/>
      <x:c r="Q51" s="91" t="str"/>
    </x:row>
    <x:row r="52">
      <x:c r="A52" s="90" t="str">
        <x:v>SOC2-AUD-003</x:v>
      </x:c>
      <x:c r="B52" s="90" t="str">
        <x:v>Audit Ledger</x:v>
      </x:c>
      <x:c r="C52" s="90" t="str">
        <x:v>Audit authorization boundary</x:v>
      </x:c>
      <x:c r="D52" s="90" t="str">
        <x:v>High</x:v>
      </x:c>
      <x:c r="E52" s="90" t="str">
        <x:v>Triage Nurse + Service Manager</x:v>
      </x:c>
      <x:c r="F52" s="90" t="str">
        <x:v>Layla and Khalid authenticated separately.</x:v>
      </x:c>
      <x:c r="G52" s="90" t="str">
        <x:v>Attempt restricted audit-administration access.</x:v>
      </x:c>
      <x:c r="H52" s="90" t="str">
        <x:v>Denied unless explicitly permitted; ledger content not exposed.</x:v>
      </x:c>
      <x:c r="I52" s="90" t="str">
        <x:v>PR-010</x:v>
      </x:c>
      <x:c r="J52" s="91" t="str">
        <x:v>Not Started</x:v>
      </x:c>
      <x:c r="K52" s="91" t="str"/>
      <x:c r="L52" s="91" t="str"/>
      <x:c r="M52" s="91" t="str"/>
      <x:c r="N52" s="91" t="str"/>
      <x:c r="O52" s="91" t="str"/>
      <x:c r="P52" s="92" t="str"/>
      <x:c r="Q52" s="91" t="str"/>
    </x:row>
    <x:row r="53">
      <x:c r="A53" s="90" t="str">
        <x:v>SOC2-RET-001</x:v>
      </x:c>
      <x:c r="B53" s="90" t="str">
        <x:v>Retention &amp; Legal Hold</x:v>
      </x:c>
      <x:c r="C53" s="90" t="str">
        <x:v>365-day retention policy</x:v>
      </x:c>
      <x:c r="D53" s="90" t="str">
        <x:v>Critical</x:v>
      </x:c>
      <x:c r="E53" s="90" t="str">
        <x:v>Privacy + Legal</x:v>
      </x:c>
      <x:c r="F53" s="90" t="str">
        <x:v>Approved SOC2 policy documentation accessible.</x:v>
      </x:c>
      <x:c r="G53" s="90" t="str">
        <x:v>Inspect configured/documented retention; evaluate record younger than 365 days.</x:v>
      </x:c>
      <x:c r="H53" s="90" t="str">
        <x:v>Policy is 365 days; younger record not eligible for standard purge.</x:v>
      </x:c>
      <x:c r="I53" s="90" t="str">
        <x:v>PR-011</x:v>
      </x:c>
      <x:c r="J53" s="91" t="str">
        <x:v>Not Started</x:v>
      </x:c>
      <x:c r="K53" s="91" t="str"/>
      <x:c r="L53" s="91" t="str"/>
      <x:c r="M53" s="91" t="str"/>
      <x:c r="N53" s="91" t="str"/>
      <x:c r="O53" s="91" t="str"/>
      <x:c r="P53" s="92" t="str"/>
      <x:c r="Q53" s="91" t="str"/>
    </x:row>
    <x:row r="54">
      <x:c r="A54" s="90" t="str">
        <x:v>SOC2-RET-002</x:v>
      </x:c>
      <x:c r="B54" s="90" t="str">
        <x:v>Retention &amp; Legal Hold</x:v>
      </x:c>
      <x:c r="C54" s="90" t="str">
        <x:v>Legal hold blocks deletion</x:v>
      </x:c>
      <x:c r="D54" s="90" t="str">
        <x:v>Critical</x:v>
      </x:c>
      <x:c r="E54" s="90" t="str">
        <x:v>Privacy + Legal</x:v>
      </x:c>
      <x:c r="F54" s="90" t="str">
        <x:v>Disposable record and authorized operator available.</x:v>
      </x:c>
      <x:c r="G54" s="90" t="str">
        <x:v>Place legal hold; attempt governed retention deletion.</x:v>
      </x:c>
      <x:c r="H54" s="90" t="str">
        <x:v>Deletion blocked; record retained; attempt audited.</x:v>
      </x:c>
      <x:c r="I54" s="90" t="str">
        <x:v>PR-011</x:v>
      </x:c>
      <x:c r="J54" s="91" t="str">
        <x:v>Not Started</x:v>
      </x:c>
      <x:c r="K54" s="91" t="str"/>
      <x:c r="L54" s="91" t="str"/>
      <x:c r="M54" s="91" t="str"/>
      <x:c r="N54" s="91" t="str"/>
      <x:c r="O54" s="91" t="str"/>
      <x:c r="P54" s="92" t="str"/>
      <x:c r="Q54" s="91" t="str"/>
    </x:row>
    <x:row r="55">
      <x:c r="A55" s="90" t="str">
        <x:v>SOC2-RET-003</x:v>
      </x:c>
      <x:c r="B55" s="90" t="str">
        <x:v>Retention &amp; Legal Hold</x:v>
      </x:c>
      <x:c r="C55" s="90" t="str">
        <x:v>Concurrent legal-hold changes</x:v>
      </x:c>
      <x:c r="D55" s="90" t="str">
        <x:v>High</x:v>
      </x:c>
      <x:c r="E55" s="90" t="str">
        <x:v>Privacy + Legal</x:v>
      </x:c>
      <x:c r="F55" s="90" t="str">
        <x:v>Disposable record available.</x:v>
      </x:c>
      <x:c r="G55" s="90" t="str">
        <x:v>Submit near-simultaneous hold mutations; reload and inspect audit order.</x:v>
      </x:c>
      <x:c r="H55" s="90" t="str">
        <x:v>Consistent final state; serialized operations; no contradictory state.</x:v>
      </x:c>
      <x:c r="I55" s="90" t="str">
        <x:v>PR-011</x:v>
      </x:c>
      <x:c r="J55" s="91" t="str">
        <x:v>Not Started</x:v>
      </x:c>
      <x:c r="K55" s="91" t="str"/>
      <x:c r="L55" s="91" t="str"/>
      <x:c r="M55" s="91" t="str"/>
      <x:c r="N55" s="91" t="str"/>
      <x:c r="O55" s="91" t="str"/>
      <x:c r="P55" s="92" t="str"/>
      <x:c r="Q55" s="91" t="str"/>
    </x:row>
    <x:row r="56">
      <x:c r="A56" s="90" t="str">
        <x:v>SOC2-HELP-001</x:v>
      </x:c>
      <x:c r="B56" s="90" t="str">
        <x:v>Help &amp; Documentation</x:v>
      </x:c>
      <x:c r="C56" s="90" t="str">
        <x:v>Nurse help content</x:v>
      </x:c>
      <x:c r="D56" s="90" t="str">
        <x:v>Medium</x:v>
      </x:c>
      <x:c r="E56" s="90" t="str">
        <x:v>Triage Nurse</x:v>
      </x:c>
      <x:c r="F56" s="90" t="str">
        <x:v>Layla authenticated.</x:v>
      </x:c>
      <x:c r="G56" s="90" t="str">
        <x:v>Open Help and inspect manual call, protocol, active-call, hold and fit-to-fly content.</x:v>
      </x:c>
      <x:c r="H56" s="90" t="str">
        <x:v>Role-appropriate content accurate; administrator-only content inaccessible.</x:v>
      </x:c>
      <x:c r="I56" s="90" t="str">
        <x:v>Documentation</x:v>
      </x:c>
      <x:c r="J56" s="91" t="str">
        <x:v>Not Started</x:v>
      </x:c>
      <x:c r="K56" s="91" t="str"/>
      <x:c r="L56" s="91" t="str"/>
      <x:c r="M56" s="91" t="str"/>
      <x:c r="N56" s="91" t="str"/>
      <x:c r="O56" s="91" t="str"/>
      <x:c r="P56" s="92" t="str"/>
      <x:c r="Q56" s="91" t="str"/>
    </x:row>
    <x:row r="57">
      <x:c r="A57" s="90" t="str">
        <x:v>SOC2-HELP-002</x:v>
      </x:c>
      <x:c r="B57" s="90" t="str">
        <x:v>Help &amp; Documentation</x:v>
      </x:c>
      <x:c r="C57" s="90" t="str">
        <x:v>Manager help content</x:v>
      </x:c>
      <x:c r="D57" s="90" t="str">
        <x:v>Medium</x:v>
      </x:c>
      <x:c r="E57" s="90" t="str">
        <x:v>Service Manager</x:v>
      </x:c>
      <x:c r="F57" s="90" t="str">
        <x:v>Khalid authenticated.</x:v>
      </x:c>
      <x:c r="G57" s="90" t="str">
        <x:v>Open Help and inspect queue, operations, reports and escalation content.</x:v>
      </x:c>
      <x:c r="H57" s="90" t="str">
        <x:v>Manager documentation accurate and role appropriate.</x:v>
      </x:c>
      <x:c r="I57" s="90" t="str">
        <x:v>Documentation</x:v>
      </x:c>
      <x:c r="J57" s="91" t="str">
        <x:v>Not Started</x:v>
      </x:c>
      <x:c r="K57" s="91" t="str"/>
      <x:c r="L57" s="91" t="str"/>
      <x:c r="M57" s="91" t="str"/>
      <x:c r="N57" s="91" t="str"/>
      <x:c r="O57" s="91" t="str"/>
      <x:c r="P57" s="92" t="str"/>
      <x:c r="Q57" s="91" t="str"/>
    </x:row>
    <x:row r="58">
      <x:c r="A58" s="90" t="str">
        <x:v>SOC2-HELP-003</x:v>
      </x:c>
      <x:c r="B58" s="90" t="str">
        <x:v>Help &amp; Documentation</x:v>
      </x:c>
      <x:c r="C58" s="90" t="str">
        <x:v>Administrator help content</x:v>
      </x:c>
      <x:c r="D58" s="90" t="str">
        <x:v>High</x:v>
      </x:c>
      <x:c r="E58" s="90" t="str">
        <x:v>Platform Administrator</x:v>
      </x:c>
      <x:c r="F58" s="90" t="str">
        <x:v>Rishma authenticated.</x:v>
      </x:c>
      <x:c r="G58" s="90" t="str">
        <x:v>Inspect PR-001 to PR-015 status, credentials, MFA, audit, retention and approvals.</x:v>
      </x:c>
      <x:c r="H58" s="90" t="str">
        <x:v>Consolidated documentation matches deployed controls and approval state.</x:v>
      </x:c>
      <x:c r="I58" s="90" t="str">
        <x:v>Documentation</x:v>
      </x:c>
      <x:c r="J58" s="91" t="str">
        <x:v>Not Started</x:v>
      </x:c>
      <x:c r="K58" s="91" t="str"/>
      <x:c r="L58" s="91" t="str"/>
      <x:c r="M58" s="91" t="str"/>
      <x:c r="N58" s="91" t="str"/>
      <x:c r="O58" s="91" t="str"/>
      <x:c r="P58" s="92" t="str"/>
      <x:c r="Q58" s="91" t="str"/>
    </x:row>
    <x:row r="59">
      <x:c r="A59" s="90" t="str">
        <x:v>SOC2-SEC-001</x:v>
      </x:c>
      <x:c r="B59" s="90" t="str">
        <x:v>Security Regression</x:v>
      </x:c>
      <x:c r="C59" s="90" t="str">
        <x:v>Seeded Demo passwords rejected</x:v>
      </x:c>
      <x:c r="D59" s="90" t="str">
        <x:v>Critical</x:v>
      </x:c>
      <x:c r="E59" s="90" t="str">
        <x:v>Security QA</x:v>
      </x:c>
      <x:c r="F59" s="90" t="str">
        <x:v>SOC2 login page available.</x:v>
      </x:c>
      <x:c r="G59" s="90" t="str">
        <x:v>Attempt Layla@2026 and Khalid@2026 against SOC2 accounts.</x:v>
      </x:c>
      <x:c r="H59" s="90" t="str">
        <x:v>Both rejected; no authenticated session; governed credentials still work.</x:v>
      </x:c>
      <x:c r="I59" s="90" t="str">
        <x:v>PR-001</x:v>
      </x:c>
      <x:c r="J59" s="91" t="str">
        <x:v>Not Started</x:v>
      </x:c>
      <x:c r="K59" s="91" t="str"/>
      <x:c r="L59" s="91" t="str"/>
      <x:c r="M59" s="91" t="str"/>
      <x:c r="N59" s="91" t="str"/>
      <x:c r="O59" s="91" t="str"/>
      <x:c r="P59" s="92" t="str"/>
      <x:c r="Q59" s="91" t="str"/>
    </x:row>
    <x:row r="60">
      <x:c r="A60" s="90" t="str">
        <x:v>SOC2-SEC-002</x:v>
      </x:c>
      <x:c r="B60" s="90" t="str">
        <x:v>Security Regression</x:v>
      </x:c>
      <x:c r="C60" s="90" t="str">
        <x:v>Terminated session cannot be reused</x:v>
      </x:c>
      <x:c r="D60" s="90" t="str">
        <x:v>Critical</x:v>
      </x:c>
      <x:c r="E60" s="90" t="str">
        <x:v>Platform Administrator + Test User</x:v>
      </x:c>
      <x:c r="F60" s="90" t="str">
        <x:v>Test user has active session.</x:v>
      </x:c>
      <x:c r="G60" s="90" t="str">
        <x:v>Administrator terminates session; retry protected request from terminated session.</x:v>
      </x:c>
      <x:c r="H60" s="90" t="str">
        <x:v>Request rejected; session remains revoked across refresh/restart.</x:v>
      </x:c>
      <x:c r="I60" s="90" t="str">
        <x:v>PR-001, PR-014</x:v>
      </x:c>
      <x:c r="J60" s="91" t="str">
        <x:v>Not Started</x:v>
      </x:c>
      <x:c r="K60" s="91" t="str"/>
      <x:c r="L60" s="91" t="str"/>
      <x:c r="M60" s="91" t="str"/>
      <x:c r="N60" s="91" t="str"/>
      <x:c r="O60" s="91" t="str"/>
      <x:c r="P60" s="92" t="str"/>
      <x:c r="Q60" s="91" t="str"/>
    </x:row>
    <x:row r="61">
      <x:c r="A61" s="93" t="str">
        <x:v>SOC2-ENV-001</x:v>
      </x:c>
      <x:c r="B61" s="93" t="str">
        <x:v>Environment &amp; Provenance</x:v>
      </x:c>
      <x:c r="C61" s="93" t="str">
        <x:v>Runtime provenance</x:v>
      </x:c>
      <x:c r="D61" s="93" t="str">
        <x:v>High</x:v>
      </x:c>
      <x:c r="E61" s="93" t="str">
        <x:v>QA</x:v>
      </x:c>
      <x:c r="F61" s="93" t="str">
        <x:v>SOC2 runtime endpoint accessible.</x:v>
      </x:c>
      <x:c r="G61" s="93" t="str">
        <x:v>Open /api/v1/runtime/environment and record environment, revision, SHA, build and persistence flags.</x:v>
      </x:c>
      <x:c r="H61" s="93" t="str">
        <x:v>Revision ist-triage-soc2-release-2efa598; SHA 2efa598...; all required persistence flags true.</x:v>
      </x:c>
      <x:c r="I61" s="93" t="str">
        <x:v>PR-002</x:v>
      </x:c>
      <x:c r="J61" s="94" t="str">
        <x:v>Not Started</x:v>
      </x:c>
      <x:c r="K61" s="94" t="str"/>
      <x:c r="L61" s="94" t="str"/>
      <x:c r="M61" s="94" t="str"/>
      <x:c r="N61" s="94" t="str"/>
      <x:c r="O61" s="94" t="str"/>
      <x:c r="P61" s="95" t="str"/>
      <x:c r="Q61" s="94" t="str"/>
    </x:row>
  </x:sheetData>
  <x:mergeCells>
    <x:mergeCell ref="A1:Q2"/>
    <x:mergeCell ref="A3:Q3"/>
  </x:mergeCells>
  <x:conditionalFormatting sqref="J7:J61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In Progress"/>
  </x:conditionalFormatting>
  <x:dataValidations count="2">
    <x:dataValidation type="list" sqref="J7:J61">
      <x:formula1>"Not Started,In Progress,Pass,Fail,Blocked,Not Applicable"</x:formula1>
    </x:dataValidation>
    <x:dataValidation type="list" sqref="D7:D61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d70bf7ad174e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30" hidden="0" customWidth="1"/>
    <x:col min="4" max="4" width="28" hidden="0" customWidth="1"/>
    <x:col min="5" max="5" width="34" hidden="0" customWidth="1"/>
    <x:col min="6" max="6" width="14" hidden="0" customWidth="1"/>
  </x:cols>
  <x:sheetData>
    <x:row r="1">
      <x:c r="A1" s="83" t="str">
        <x:v>SOC2 Test Data and Reference</x:v>
      </x:c>
      <x:c r="B1" s="83"/>
      <x:c r="C1" s="83"/>
      <x:c r="D1" s="83"/>
      <x:c r="E1" s="83"/>
      <x:c r="F1" s="83"/>
    </x:row>
    <x:row r="2">
      <x:c r="A2" s="83"/>
      <x:c r="B2" s="83"/>
      <x:c r="C2" s="83"/>
      <x:c r="D2" s="83"/>
      <x:c r="E2" s="83"/>
      <x:c r="F2" s="83"/>
    </x:row>
    <x:row r="3">
      <x:c r="A3" s="85"/>
      <x:c r="B3" s="85"/>
      <x:c r="C3" s="85"/>
      <x:c r="D3" s="85"/>
      <x:c r="E3" s="85"/>
      <x:c r="F3" s="85"/>
    </x:row>
    <x:row r="4">
      <x:c r="A4" s="96" t="str">
        <x:v>Type</x:v>
      </x:c>
      <x:c r="B4" s="96" t="str">
        <x:v>Identifier / Value</x:v>
      </x:c>
      <x:c r="C4" s="96" t="str">
        <x:v>Use</x:v>
      </x:c>
      <x:c r="D4" s="96" t="str">
        <x:v>Expected resolution</x:v>
      </x:c>
      <x:c r="E4" s="96" t="str">
        <x:v>Security note</x:v>
      </x:c>
      <x:c r="F4" s="96" t="str">
        <x:v>Environment</x:v>
      </x:c>
    </x:row>
    <x:row r="5">
      <x:c r="A5" s="97" t="str">
        <x:v>Application URL</x:v>
      </x:c>
      <x:c r="B5" s="97" t="str">
        <x:v>https://ist-triage-soc2-gv6v4zyvuq-ww.a.run.app/</x:v>
      </x:c>
      <x:c r="C5" s="97" t="str">
        <x:v>SOC2 execution</x:v>
      </x:c>
      <x:c r="D5" s="97" t="str">
        <x:v>SOC2-STAGING</x:v>
      </x:c>
      <x:c r="E5" s="97" t="str">
        <x:v>No credentials in workbook</x:v>
      </x:c>
      <x:c r="F5" s="97" t="str">
        <x:v>SOC2</x:v>
      </x:c>
    </x:row>
    <x:row r="6">
      <x:c r="A6" s="97" t="str">
        <x:v>Platform Administrator</x:v>
      </x:c>
      <x:c r="B6" s="97" t="str">
        <x:v>rishma@irisstar.tech</x:v>
      </x:c>
      <x:c r="C6" s="97" t="str">
        <x:v>Administrator tests</x:v>
      </x:c>
      <x:c r="D6" s="97" t="str">
        <x:v>Platform Administrator</x:v>
      </x:c>
      <x:c r="E6" s="97" t="str">
        <x:v>Use governed password + MFA</x:v>
      </x:c>
      <x:c r="F6" s="97" t="str">
        <x:v>SOC2</x:v>
      </x:c>
    </x:row>
    <x:row r="7">
      <x:c r="A7" s="97" t="str">
        <x:v>Triage Nurse</x:v>
      </x:c>
      <x:c r="B7" s="97" t="str">
        <x:v>layla@irisstar.tech</x:v>
      </x:c>
      <x:c r="C7" s="97" t="str">
        <x:v>Nurse tests</x:v>
      </x:c>
      <x:c r="D7" s="97" t="str">
        <x:v>Triage Nurse</x:v>
      </x:c>
      <x:c r="E7" s="97" t="str">
        <x:v>Use governed credential + MFA</x:v>
      </x:c>
      <x:c r="F7" s="97" t="str">
        <x:v>SOC2</x:v>
      </x:c>
    </x:row>
    <x:row r="8">
      <x:c r="A8" s="97" t="str">
        <x:v>Service Manager</x:v>
      </x:c>
      <x:c r="B8" s="97" t="str">
        <x:v>khalid@irisstar.tech</x:v>
      </x:c>
      <x:c r="C8" s="97" t="str">
        <x:v>Manager tests</x:v>
      </x:c>
      <x:c r="D8" s="97" t="str">
        <x:v>Service Manager</x:v>
      </x:c>
      <x:c r="E8" s="97" t="str">
        <x:v>Use governed credential + MFA</x:v>
      </x:c>
      <x:c r="F8" s="97" t="str">
        <x:v>SOC2</x:v>
      </x:c>
    </x:row>
    <x:row r="9">
      <x:c r="A9" s="97" t="str">
        <x:v>Employee ID</x:v>
      </x:c>
      <x:c r="B9" s="97" t="str">
        <x:v>IST-1001</x:v>
      </x:c>
      <x:c r="C9" s="97" t="str">
        <x:v>Manual employee call</x:v>
      </x:c>
      <x:c r="D9" s="97" t="str">
        <x:v>Synthetic Pilot</x:v>
      </x:c>
      <x:c r="E9" s="97" t="str">
        <x:v>Non-PHI synthetic</x:v>
      </x:c>
      <x:c r="F9" s="97" t="str">
        <x:v>SOC2</x:v>
      </x:c>
    </x:row>
    <x:row r="10">
      <x:c r="A10" s="97" t="str">
        <x:v>Employee ID</x:v>
      </x:c>
      <x:c r="B10" s="97" t="str">
        <x:v>IST-10001</x:v>
      </x:c>
      <x:c r="C10" s="97" t="str">
        <x:v>Manual employee call</x:v>
      </x:c>
      <x:c r="D10" s="97" t="str">
        <x:v>Synthetic Cabin Crew</x:v>
      </x:c>
      <x:c r="E10" s="97" t="str">
        <x:v>Non-PHI synthetic</x:v>
      </x:c>
      <x:c r="F10" s="97" t="str">
        <x:v>SOC2</x:v>
      </x:c>
    </x:row>
    <x:row r="11">
      <x:c r="A11" s="97" t="str">
        <x:v>Employee ID</x:v>
      </x:c>
      <x:c r="B11" s="97" t="str">
        <x:v>IST-2002</x:v>
      </x:c>
      <x:c r="C11" s="97" t="str">
        <x:v>Manual employee call</x:v>
      </x:c>
      <x:c r="D11" s="97" t="str">
        <x:v>Synthetic staff</x:v>
      </x:c>
      <x:c r="E11" s="97" t="str">
        <x:v>Non-PHI synthetic</x:v>
      </x:c>
      <x:c r="F11" s="97" t="str">
        <x:v>SOC2</x:v>
      </x:c>
    </x:row>
    <x:row r="12">
      <x:c r="A12" s="97" t="str">
        <x:v>Employee ID range</x:v>
      </x:c>
      <x:c r="B12" s="97" t="str">
        <x:v>IST-00001 to IST-26000</x:v>
      </x:c>
      <x:c r="C12" s="97" t="str">
        <x:v>Additional manual cases</x:v>
      </x:c>
      <x:c r="D12" s="97" t="str">
        <x:v>Synthetic workforce</x:v>
      </x:c>
      <x:c r="E12" s="97" t="str">
        <x:v>Eligibility may vary by record</x:v>
      </x:c>
      <x:c r="F12" s="97" t="str">
        <x:v>SOC2</x:v>
      </x:c>
    </x:row>
    <x:row r="13">
      <x:c r="A13" s="97" t="str">
        <x:v>Dependent ID</x:v>
      </x:c>
      <x:c r="B13" s="97" t="str">
        <x:v>dep_ist_1001_child_01</x:v>
      </x:c>
      <x:c r="C13" s="97" t="str">
        <x:v>Dependent call</x:v>
      </x:c>
      <x:c r="D13" s="97" t="str">
        <x:v>Daughter of IST-1001</x:v>
      </x:c>
      <x:c r="E13" s="97" t="str">
        <x:v>Non-PHI synthetic</x:v>
      </x:c>
      <x:c r="F13" s="97" t="str">
        <x:v>SOC2</x:v>
      </x:c>
    </x:row>
    <x:row r="14">
      <x:c r="A14" s="97" t="str">
        <x:v>Dependent ID</x:v>
      </x:c>
      <x:c r="B14" s="97" t="str">
        <x:v>dep_ist_1001_child_02</x:v>
      </x:c>
      <x:c r="C14" s="97" t="str">
        <x:v>Dependent call</x:v>
      </x:c>
      <x:c r="D14" s="97" t="str">
        <x:v>Son of IST-1001</x:v>
      </x:c>
      <x:c r="E14" s="97" t="str">
        <x:v>Non-PHI synthetic</x:v>
      </x:c>
      <x:c r="F14" s="97" t="str">
        <x:v>SOC2</x:v>
      </x:c>
    </x:row>
    <x:row r="15">
      <x:c r="A15" s="97" t="str">
        <x:v>Dependent ID</x:v>
      </x:c>
      <x:c r="B15" s="97" t="str">
        <x:v>dep_demo_10001_child</x:v>
      </x:c>
      <x:c r="C15" s="97" t="str">
        <x:v>Dependent call</x:v>
      </x:c>
      <x:c r="D15" s="97" t="str">
        <x:v>Daughter of IST-10001</x:v>
      </x:c>
      <x:c r="E15" s="97" t="str">
        <x:v>Non-PHI synthetic</x:v>
      </x:c>
      <x:c r="F15" s="97" t="str">
        <x:v>SOC2</x:v>
      </x:c>
    </x:row>
    <x:row r="16">
      <x:c r="A16" s="97" t="str">
        <x:v>Revision</x:v>
      </x:c>
      <x:c r="B16" s="97" t="str">
        <x:v>ist-triage-soc2-release-2efa598</x:v>
      </x:c>
      <x:c r="C16" s="97" t="str">
        <x:v>Evidence baseline</x:v>
      </x:c>
      <x:c r="D16" s="97" t="str">
        <x:v>100% SOC2 traffic</x:v>
      </x:c>
      <x:c r="E16" s="97" t="str">
        <x:v>Record with each run</x:v>
      </x:c>
      <x:c r="F16" s="97" t="str">
        <x:v>SOC2</x:v>
      </x:c>
    </x:row>
    <x:row r="17">
      <x:c r="A17" s="98" t="str">
        <x:v>Git SHA</x:v>
      </x:c>
      <x:c r="B17" s="98" t="str">
        <x:v>2efa598063da3bb19f0bd9140888003e2132bf77</x:v>
      </x:c>
      <x:c r="C17" s="98" t="str">
        <x:v>Evidence baseline</x:v>
      </x:c>
      <x:c r="D17" s="98" t="str">
        <x:v>Runtime provenance</x:v>
      </x:c>
      <x:c r="E17" s="98" t="str">
        <x:v>Record with each run</x:v>
      </x:c>
      <x:c r="F17" s="98" t="str">
        <x:v>SOC2</x:v>
      </x:c>
    </x:row>
  </x:sheetData>
  <x:mergeCells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4" hidden="0" customWidth="1"/>
    <x:col min="4" max="4" width="45" hidden="0" customWidth="1"/>
  </x:cols>
  <x:sheetData>
    <x:row r="1">
      <x:c r="A1" s="83" t="str">
        <x:v>Controlled Lists and Recording Guidance</x:v>
      </x:c>
      <x:c r="B1" s="83"/>
      <x:c r="C1" s="83"/>
      <x:c r="D1" s="83"/>
    </x:row>
    <x:row r="2">
      <x:c r="A2" s="83"/>
      <x:c r="B2" s="83"/>
      <x:c r="C2" s="83"/>
      <x:c r="D2" s="83"/>
    </x:row>
    <x:row r="3">
      <x:c r="A3" s="85"/>
      <x:c r="B3" s="85"/>
      <x:c r="C3" s="85"/>
      <x:c r="D3" s="85"/>
    </x:row>
    <x:row r="4">
      <x:c r="A4" s="99" t="str">
        <x:v>Status</x:v>
      </x:c>
      <x:c r="B4" s="99" t="str">
        <x:v>Priority</x:v>
      </x:c>
      <x:c r="C4" s="99" t="str">
        <x:v>Evidence type</x:v>
      </x:c>
      <x:c r="D4" s="99" t="str">
        <x:v>Approval state</x:v>
      </x:c>
    </x:row>
    <x:row r="5">
      <x:c r="A5" s="45" t="str">
        <x:v>Not Started</x:v>
      </x:c>
      <x:c r="B5" s="45" t="str">
        <x:v>Critical</x:v>
      </x:c>
      <x:c r="C5" s="45" t="str">
        <x:v>Screenshot</x:v>
      </x:c>
      <x:c r="D5" s="45" t="str">
        <x:v>Pending</x:v>
      </x:c>
    </x:row>
    <x:row r="6">
      <x:c r="A6" s="45" t="str">
        <x:v>In Progress</x:v>
      </x:c>
      <x:c r="B6" s="45" t="str">
        <x:v>High</x:v>
      </x:c>
      <x:c r="C6" s="45" t="str">
        <x:v>Audit event ID</x:v>
      </x:c>
      <x:c r="D6" s="45" t="str">
        <x:v>Approved</x:v>
      </x:c>
    </x:row>
    <x:row r="7">
      <x:c r="A7" s="45" t="str">
        <x:v>Pass</x:v>
      </x:c>
      <x:c r="B7" s="45" t="str">
        <x:v>Medium</x:v>
      </x:c>
      <x:c r="C7" s="45" t="str">
        <x:v>Queue / encounter ID</x:v>
      </x:c>
      <x:c r="D7" s="45" t="str">
        <x:v>Rejected</x:v>
      </x:c>
    </x:row>
    <x:row r="8">
      <x:c r="A8" s="45" t="str">
        <x:v>Fail</x:v>
      </x:c>
      <x:c r="B8" s="45" t="str">
        <x:v>Low</x:v>
      </x:c>
      <x:c r="C8" s="45" t="str">
        <x:v>HTTP status/response</x:v>
      </x:c>
      <x:c r="D8" s="45" t="str">
        <x:v>Not Applicable</x:v>
      </x:c>
    </x:row>
    <x:row r="9">
      <x:c r="A9" s="45" t="str">
        <x:v>Blocked</x:v>
      </x:c>
      <x:c r="B9" s="45" t="str"/>
      <x:c r="C9" s="45" t="str">
        <x:v>Ledger verification</x:v>
      </x:c>
      <x:c r="D9" s="45" t="str"/>
    </x:row>
    <x:row r="10">
      <x:c r="A10" s="45" t="str">
        <x:v>Not Applicable</x:v>
      </x:c>
      <x:c r="B10" s="45" t="str"/>
      <x:c r="C10" s="45" t="str">
        <x:v>Legal-hold record ID</x:v>
      </x:c>
      <x:c r="D10" s="45" t="str"/>
    </x:row>
    <x:row r="11">
      <x:c r="A11" s="45"/>
      <x:c r="B11" s="45"/>
      <x:c r="C11" s="45"/>
      <x:c r="D11" s="45"/>
    </x:row>
    <x:row r="12">
      <x:c r="A12" s="100" t="str">
        <x:v>Color</x:v>
      </x:c>
      <x:c r="B12" s="100" t="str">
        <x:v>Meaning</x:v>
      </x:c>
      <x:c r="C12" s="100" t="str">
        <x:v>Required action</x:v>
      </x:c>
      <x:c r="D12" s="100" t="str">
        <x:v>Clinical/governance note</x:v>
      </x:c>
    </x:row>
    <x:row r="13">
      <x:c r="A13" s="45" t="str">
        <x:v>Green</x:v>
      </x:c>
      <x:c r="B13" s="45" t="str">
        <x:v>Pass</x:v>
      </x:c>
      <x:c r="C13" s="45" t="str">
        <x:v>Retain evidence</x:v>
      </x:c>
      <x:c r="D13" s="45" t="str">
        <x:v>Technical pass is not clinical approval</x:v>
      </x:c>
    </x:row>
    <x:row r="14">
      <x:c r="A14" s="45" t="str">
        <x:v>Red</x:v>
      </x:c>
      <x:c r="B14" s="45" t="str">
        <x:v>Fail</x:v>
      </x:c>
      <x:c r="C14" s="45" t="str">
        <x:v>Raise defect and stop unsafe path</x:v>
      </x:c>
      <x:c r="D14" s="45" t="str">
        <x:v>Clinical safety failures require escalation</x:v>
      </x:c>
    </x:row>
    <x:row r="15">
      <x:c r="A15" s="45" t="str">
        <x:v>Orange</x:v>
      </x:c>
      <x:c r="B15" s="45" t="str">
        <x:v>Blocked</x:v>
      </x:c>
      <x:c r="C15" s="45" t="str">
        <x:v>Record dependency and owner</x:v>
      </x:c>
      <x:c r="D15" s="45" t="str">
        <x:v>Do not mark as pass</x:v>
      </x:c>
    </x:row>
    <x:row r="16">
      <x:c r="A16" s="45" t="str">
        <x:v>Yellow</x:v>
      </x:c>
      <x:c r="B16" s="45" t="str">
        <x:v>Tester input</x:v>
      </x:c>
      <x:c r="C16" s="45" t="str">
        <x:v>Complete during execution</x:v>
      </x:c>
      <x:c r="D16" s="45" t="str">
        <x:v>Never record secrets</x:v>
      </x:c>
    </x:row>
  </x:sheetData>
  <x:mergeCells>
    <x:mergeCell ref="A1:D2"/>
  </x:mergeCells>
  <x:pageMargins left="0.7" right="0.7" top="0.75" bottom="0.75" header="0.3" footer="0.3"/>
</x:worksheet>
</file>